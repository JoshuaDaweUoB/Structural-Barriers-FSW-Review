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vl22683_bristol_ac_uk/Documents/Documents/Misc/UNAIDS/FSW/Analysis/Analysis/Structural-Barriers-FSW-Review/"/>
    </mc:Choice>
  </mc:AlternateContent>
  <xr:revisionPtr revIDLastSave="553" documentId="8_{AEEE4C1F-92CE-4094-B9C7-1969C8609B8E}" xr6:coauthVersionLast="47" xr6:coauthVersionMax="47" xr10:uidLastSave="{AEE3F5ED-67F1-4A35-A79E-8D80974C6694}"/>
  <bookViews>
    <workbookView xWindow="-120" yWindow="-120" windowWidth="29040" windowHeight="15720" xr2:uid="{04E804E8-CF61-42BC-A04D-55E2D33F1781}"/>
  </bookViews>
  <sheets>
    <sheet name="All studies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2" l="1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G68" i="12"/>
  <c r="I68" i="12"/>
  <c r="K68" i="12"/>
  <c r="G63" i="12"/>
  <c r="I63" i="12"/>
  <c r="K63" i="12"/>
  <c r="G64" i="12"/>
  <c r="I64" i="12"/>
  <c r="K64" i="12"/>
  <c r="G61" i="12"/>
  <c r="I61" i="12"/>
  <c r="K61" i="12"/>
  <c r="G57" i="12"/>
  <c r="I57" i="12"/>
  <c r="K57" i="12"/>
  <c r="G58" i="12"/>
  <c r="I58" i="12"/>
  <c r="K58" i="12"/>
  <c r="I50" i="12"/>
  <c r="K52" i="12"/>
  <c r="I52" i="12"/>
  <c r="G52" i="12"/>
  <c r="K51" i="12"/>
  <c r="I51" i="12"/>
  <c r="G51" i="12"/>
  <c r="G37" i="12"/>
  <c r="I37" i="12"/>
  <c r="K37" i="12"/>
  <c r="G38" i="12"/>
  <c r="I38" i="12"/>
  <c r="K38" i="12"/>
  <c r="G39" i="12"/>
  <c r="I39" i="12"/>
  <c r="K39" i="12"/>
  <c r="G40" i="12"/>
  <c r="I40" i="12"/>
  <c r="K40" i="12"/>
  <c r="K41" i="12"/>
  <c r="I41" i="12"/>
  <c r="G41" i="12"/>
  <c r="G31" i="12"/>
  <c r="K56" i="12" l="1"/>
  <c r="I56" i="12"/>
  <c r="G56" i="12"/>
  <c r="K42" i="12"/>
  <c r="I42" i="12"/>
  <c r="G42" i="12"/>
  <c r="K33" i="12"/>
  <c r="I33" i="12"/>
  <c r="G33" i="12"/>
  <c r="I8" i="12" l="1"/>
  <c r="K69" i="12" l="1"/>
  <c r="I69" i="12"/>
  <c r="G69" i="12"/>
  <c r="K62" i="12"/>
  <c r="I62" i="12"/>
  <c r="G62" i="12"/>
  <c r="K49" i="12"/>
  <c r="I49" i="12"/>
  <c r="G49" i="12"/>
  <c r="K50" i="12"/>
  <c r="G50" i="12"/>
  <c r="K43" i="12"/>
  <c r="I43" i="12"/>
  <c r="G43" i="12"/>
  <c r="K32" i="12"/>
  <c r="I32" i="12"/>
  <c r="G32" i="12"/>
  <c r="K26" i="12"/>
  <c r="K27" i="12"/>
  <c r="K28" i="12"/>
  <c r="I26" i="12"/>
  <c r="I27" i="12"/>
  <c r="I28" i="12"/>
  <c r="G26" i="12"/>
  <c r="G27" i="12"/>
  <c r="G28" i="12"/>
  <c r="K16" i="12"/>
  <c r="I16" i="12"/>
  <c r="G16" i="12"/>
  <c r="K15" i="12"/>
  <c r="I15" i="12"/>
  <c r="G15" i="12"/>
  <c r="K14" i="12"/>
  <c r="I14" i="12"/>
  <c r="G14" i="12"/>
  <c r="I35" i="12" l="1"/>
  <c r="K13" i="12"/>
  <c r="I13" i="12"/>
  <c r="G13" i="12"/>
  <c r="K12" i="12"/>
  <c r="I12" i="12"/>
  <c r="G12" i="12"/>
  <c r="K11" i="12"/>
  <c r="I11" i="12"/>
  <c r="G11" i="12"/>
  <c r="G17" i="12" l="1"/>
  <c r="G18" i="12"/>
  <c r="G19" i="12"/>
  <c r="G20" i="12"/>
  <c r="G21" i="12"/>
  <c r="G22" i="12"/>
  <c r="G23" i="12"/>
  <c r="G24" i="12"/>
  <c r="G25" i="12"/>
  <c r="G44" i="12"/>
  <c r="G45" i="12"/>
  <c r="K35" i="12"/>
  <c r="K36" i="12"/>
  <c r="K2" i="12"/>
  <c r="K3" i="12"/>
  <c r="K4" i="12"/>
  <c r="K5" i="12"/>
  <c r="K6" i="12"/>
  <c r="K7" i="12"/>
  <c r="K8" i="12"/>
  <c r="K9" i="12"/>
  <c r="K10" i="12"/>
  <c r="K17" i="12"/>
  <c r="K18" i="12"/>
  <c r="K19" i="12"/>
  <c r="K20" i="12"/>
  <c r="K21" i="12"/>
  <c r="K22" i="12"/>
  <c r="K23" i="12"/>
  <c r="K24" i="12"/>
  <c r="K25" i="12"/>
  <c r="K44" i="12"/>
  <c r="K45" i="12"/>
  <c r="I36" i="12"/>
  <c r="I2" i="12"/>
  <c r="I3" i="12"/>
  <c r="I4" i="12"/>
  <c r="I5" i="12"/>
  <c r="I6" i="12"/>
  <c r="I7" i="12"/>
  <c r="I9" i="12"/>
  <c r="I10" i="12"/>
  <c r="I17" i="12"/>
  <c r="I18" i="12"/>
  <c r="I19" i="12"/>
  <c r="I20" i="12"/>
  <c r="I21" i="12"/>
  <c r="I22" i="12"/>
  <c r="I23" i="12"/>
  <c r="I24" i="12"/>
  <c r="I25" i="12"/>
  <c r="I44" i="12"/>
  <c r="G2" i="12"/>
  <c r="G3" i="12"/>
  <c r="G4" i="12"/>
  <c r="G5" i="12"/>
  <c r="G6" i="12"/>
  <c r="G7" i="12"/>
  <c r="G8" i="12"/>
  <c r="G9" i="12"/>
  <c r="G10" i="12"/>
  <c r="K67" i="12"/>
  <c r="I67" i="12"/>
  <c r="G67" i="12"/>
  <c r="K66" i="12"/>
  <c r="I66" i="12"/>
  <c r="G66" i="12"/>
  <c r="K65" i="12"/>
  <c r="I65" i="12"/>
  <c r="G65" i="12"/>
  <c r="K60" i="12"/>
  <c r="I60" i="12"/>
  <c r="G60" i="12"/>
  <c r="K59" i="12"/>
  <c r="I59" i="12"/>
  <c r="G59" i="12"/>
  <c r="K55" i="12"/>
  <c r="I55" i="12"/>
  <c r="G55" i="12"/>
  <c r="K54" i="12"/>
  <c r="I54" i="12"/>
  <c r="G54" i="12"/>
  <c r="K53" i="12"/>
  <c r="I53" i="12"/>
  <c r="G53" i="12"/>
  <c r="K48" i="12"/>
  <c r="I48" i="12"/>
  <c r="G48" i="12"/>
  <c r="K47" i="12"/>
  <c r="I47" i="12"/>
  <c r="G47" i="12"/>
  <c r="K46" i="12"/>
  <c r="I46" i="12"/>
  <c r="G46" i="12"/>
  <c r="I45" i="12"/>
  <c r="G36" i="12" l="1"/>
  <c r="G35" i="12"/>
  <c r="K34" i="12"/>
  <c r="I34" i="12"/>
  <c r="G34" i="12"/>
  <c r="K31" i="12"/>
  <c r="I31" i="12"/>
  <c r="K30" i="12"/>
  <c r="I30" i="12"/>
  <c r="G30" i="12"/>
  <c r="K29" i="12"/>
  <c r="I29" i="12"/>
  <c r="G29" i="12"/>
</calcChain>
</file>

<file path=xl/sharedStrings.xml><?xml version="1.0" encoding="utf-8"?>
<sst xmlns="http://schemas.openxmlformats.org/spreadsheetml/2006/main" count="287" uniqueCount="30">
  <si>
    <t>num</t>
  </si>
  <si>
    <t>effect</t>
  </si>
  <si>
    <t>upper</t>
  </si>
  <si>
    <t>lower</t>
  </si>
  <si>
    <t>studies</t>
  </si>
  <si>
    <t>name</t>
  </si>
  <si>
    <t>Physical violence</t>
  </si>
  <si>
    <t>Sexual violence</t>
  </si>
  <si>
    <t>Combined</t>
  </si>
  <si>
    <t>Unadjusted</t>
  </si>
  <si>
    <t>Adjusted</t>
  </si>
  <si>
    <t>estimates</t>
  </si>
  <si>
    <t>i2</t>
  </si>
  <si>
    <t>effect_ln</t>
  </si>
  <si>
    <t>lower_ln</t>
  </si>
  <si>
    <t>upper_ln</t>
  </si>
  <si>
    <t>or_95</t>
  </si>
  <si>
    <t>outcome</t>
  </si>
  <si>
    <t>adjust</t>
  </si>
  <si>
    <t>HIV testing</t>
  </si>
  <si>
    <t>violence</t>
  </si>
  <si>
    <t>Recent</t>
  </si>
  <si>
    <t>Lifetime</t>
  </si>
  <si>
    <t>Any violence</t>
  </si>
  <si>
    <t>ART use</t>
  </si>
  <si>
    <t>ART adherence</t>
  </si>
  <si>
    <t>Viral suppression</t>
  </si>
  <si>
    <t>Other violence</t>
  </si>
  <si>
    <t>HIV prevalence</t>
  </si>
  <si>
    <t>Mixed violence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</si>
</sst>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1" applyNumberFormat="1" applyFont="1" applyAlignment="1">
      <alignment horizontal="left"/>
    </xf>
    <xf numFmtId="2" fontId="0" fillId="0" borderId="0" xfId="1" applyNumberFormat="1" applyFont="1" applyAlignment="1">
      <alignment horizontal="left"/>
    </xf>
    <xf numFmtId="164" fontId="0" fillId="0" borderId="0" xfId="1" applyNumberFormat="1" applyFont="1" applyAlignment="1">
      <alignment horizontal="left"/>
    </xf>
    <xf numFmtId="2" fontId="0" fillId="0" borderId="0" xfId="1" applyNumberFormat="1" applyFont="1" applyFill="1" applyAlignment="1">
      <alignment horizontal="left"/>
    </xf>
    <xf numFmtId="164" fontId="0" fillId="0" borderId="0" xfId="1" applyNumberFormat="1" applyFont="1" applyFill="1" applyAlignment="1">
      <alignment horizontal="left"/>
    </xf>
    <xf numFmtId="1" fontId="0" fillId="0" borderId="0" xfId="1" applyNumberFormat="1" applyFont="1" applyFill="1" applyAlignment="1">
      <alignment horizontal="left"/>
    </xf>
    <xf numFmtId="2" fontId="2" fillId="2" borderId="1" xfId="0" applyNumberFormat="1" applyFont="1" applyFill="1" applyBorder="1" applyAlignment="1">
      <alignment horizontal="left"/>
    </xf>
    <xf numFmtId="2" fontId="2" fillId="2" borderId="1" xfId="1" applyNumberFormat="1" applyFont="1" applyFill="1" applyBorder="1" applyAlignment="1">
      <alignment horizontal="left"/>
    </xf>
    <xf numFmtId="0" fontId="3" fillId="0" borderId="0" xfId="0" applyFont="1"/>
  </cellXfs>
  <cellStyles count="2">
    <cellStyle name="Normal" xfId="0" builtinId="0"/>
    <cellStyle name="Percent" xfId="1" builtinId="5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012D00-32F6-4970-A623-C6AEC64A87A7}" name="Table1" displayName="Table1" ref="A1:O69" totalsRowShown="0" headerRowDxfId="16" dataDxfId="14" headerRowBorderDxfId="15" dataCellStyle="Percent">
  <autoFilter ref="A1:O69" xr:uid="{D9012D00-32F6-4970-A623-C6AEC64A87A7}"/>
  <sortState xmlns:xlrd2="http://schemas.microsoft.com/office/spreadsheetml/2017/richdata2" ref="A2:O69">
    <sortCondition ref="A1:A69"/>
  </sortState>
  <tableColumns count="15">
    <tableColumn id="1" xr3:uid="{EA2B369F-CD2A-437E-B2F8-3D03E56D704C}" name="num" dataDxfId="13"/>
    <tableColumn id="2" xr3:uid="{4C6EAEA5-229F-4167-B99B-E76C45A80157}" name="outcome"/>
    <tableColumn id="3" xr3:uid="{2B35ADD9-C459-4F82-ABBD-5AFBB57A9EF6}" name="violence" dataDxfId="12"/>
    <tableColumn id="4" xr3:uid="{091F27BE-0323-4291-B253-FDFABBAF668D}" name="name" dataDxfId="11"/>
    <tableColumn id="5" xr3:uid="{E9C9B534-5035-4C29-A377-B787CF58071B}" name="adjust" dataDxfId="10"/>
    <tableColumn id="6" xr3:uid="{F66D8C15-4793-439B-A70B-4B553E576366}" name="effect" dataDxfId="9"/>
    <tableColumn id="7" xr3:uid="{9FC2E3D3-84D0-4F80-9A90-F27EEC63596C}" name="effect_ln" dataDxfId="8" dataCellStyle="Percent">
      <calculatedColumnFormula>LN(F2)</calculatedColumnFormula>
    </tableColumn>
    <tableColumn id="8" xr3:uid="{728E5FD9-8A34-4B33-9088-DCD261621DB9}" name="lower" dataDxfId="7"/>
    <tableColumn id="9" xr3:uid="{64193611-88D8-4061-8512-A8D2A2BD6D2A}" name="lower_ln" dataDxfId="6" dataCellStyle="Percent">
      <calculatedColumnFormula>LN(H2)</calculatedColumnFormula>
    </tableColumn>
    <tableColumn id="10" xr3:uid="{28FDE764-6522-406A-B293-D31312FB1464}" name="upper" dataDxfId="5"/>
    <tableColumn id="11" xr3:uid="{1B360BE7-D329-4CB4-BE36-AE77D8F44371}" name="upper_ln" dataDxfId="4" dataCellStyle="Percent">
      <calculatedColumnFormula>LN(J2)</calculatedColumnFormula>
    </tableColumn>
    <tableColumn id="12" xr3:uid="{B788DE6B-5B28-440C-96DA-91E1AC36CE91}" name="or_95" dataDxfId="0" dataCellStyle="Percent">
      <calculatedColumnFormula>TEXT(F2,"0.00") &amp; " (" &amp; TEXT(H2,"0.00") &amp; ", " &amp; TEXT(J2,"0.00") &amp; ")"</calculatedColumnFormula>
    </tableColumn>
    <tableColumn id="13" xr3:uid="{38118F29-992B-431A-8089-300818351178}" name="i2" dataDxfId="3" dataCellStyle="Percent"/>
    <tableColumn id="14" xr3:uid="{E626C596-936B-46FD-ADE9-6FBDD07D339D}" name="studies" dataDxfId="2"/>
    <tableColumn id="15" xr3:uid="{62D2FB13-3C5A-46F5-B258-57D1413A340F}" name="estima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2BB3F-BFDA-4F46-BAB1-FC5B2B382277}">
  <dimension ref="A1:R69"/>
  <sheetViews>
    <sheetView tabSelected="1" zoomScale="130" zoomScaleNormal="130" workbookViewId="0">
      <pane ySplit="1" topLeftCell="A44" activePane="bottomLeft" state="frozen"/>
      <selection pane="bottomLeft" activeCell="E53" sqref="E53"/>
    </sheetView>
  </sheetViews>
  <sheetFormatPr defaultRowHeight="15" x14ac:dyDescent="0.25"/>
  <cols>
    <col min="2" max="2" width="12.140625" bestFit="1" customWidth="1"/>
    <col min="3" max="3" width="29.28515625" bestFit="1" customWidth="1"/>
    <col min="4" max="4" width="15.7109375" bestFit="1" customWidth="1"/>
    <col min="5" max="5" width="11.140625" bestFit="1" customWidth="1"/>
    <col min="7" max="7" width="9.7109375" customWidth="1"/>
    <col min="9" max="9" width="9.5703125" customWidth="1"/>
    <col min="11" max="11" width="9.7109375" customWidth="1"/>
    <col min="12" max="12" width="15.5703125" bestFit="1" customWidth="1"/>
    <col min="15" max="15" width="10.85546875" customWidth="1"/>
  </cols>
  <sheetData>
    <row r="1" spans="1:18" s="12" customFormat="1" x14ac:dyDescent="0.25">
      <c r="A1" s="10" t="s">
        <v>0</v>
      </c>
      <c r="B1" s="10" t="s">
        <v>17</v>
      </c>
      <c r="C1" s="10" t="s">
        <v>20</v>
      </c>
      <c r="D1" s="10" t="s">
        <v>5</v>
      </c>
      <c r="E1" s="10" t="s">
        <v>18</v>
      </c>
      <c r="F1" s="10" t="s">
        <v>1</v>
      </c>
      <c r="G1" s="10" t="s">
        <v>13</v>
      </c>
      <c r="H1" s="10" t="s">
        <v>3</v>
      </c>
      <c r="I1" s="10" t="s">
        <v>14</v>
      </c>
      <c r="J1" s="10" t="s">
        <v>2</v>
      </c>
      <c r="K1" s="10" t="s">
        <v>15</v>
      </c>
      <c r="L1" s="10" t="s">
        <v>16</v>
      </c>
      <c r="M1" s="11" t="s">
        <v>12</v>
      </c>
      <c r="N1" s="10" t="s">
        <v>4</v>
      </c>
      <c r="O1" s="11" t="s">
        <v>11</v>
      </c>
    </row>
    <row r="2" spans="1:18" x14ac:dyDescent="0.25">
      <c r="A2" s="1">
        <v>1</v>
      </c>
      <c r="B2" t="s">
        <v>28</v>
      </c>
      <c r="C2" s="3" t="s">
        <v>6</v>
      </c>
      <c r="D2" s="3" t="s">
        <v>21</v>
      </c>
      <c r="E2" s="3" t="s">
        <v>9</v>
      </c>
      <c r="F2" s="3">
        <v>1.1499999999999999</v>
      </c>
      <c r="G2" s="7">
        <f t="shared" ref="G2:G35" si="0">LN(F2)</f>
        <v>0.13976194237515863</v>
      </c>
      <c r="H2" s="3">
        <v>0.99</v>
      </c>
      <c r="I2" s="7">
        <f t="shared" ref="I2:I35" si="1">LN(H2)</f>
        <v>-1.0050335853501451E-2</v>
      </c>
      <c r="J2" s="3">
        <v>1.34</v>
      </c>
      <c r="K2" s="7">
        <f t="shared" ref="K2:K35" si="2">LN(J2)</f>
        <v>0.29266961396282004</v>
      </c>
      <c r="L2" s="7" t="str">
        <f t="shared" ref="L2:L33" si="3">TEXT(F2,"0.00") &amp; " (" &amp; TEXT(H2,"0.00") &amp; ", " &amp; TEXT(J2,"0.00") &amp; ")"</f>
        <v>1.15 (0.99, 1.34)</v>
      </c>
      <c r="M2" s="8">
        <v>0.57799999999999996</v>
      </c>
      <c r="N2" s="2">
        <v>14</v>
      </c>
      <c r="O2" s="9">
        <v>22</v>
      </c>
      <c r="P2" s="5"/>
      <c r="Q2" s="1"/>
      <c r="R2" s="4"/>
    </row>
    <row r="3" spans="1:18" x14ac:dyDescent="0.25">
      <c r="A3" s="1">
        <v>2</v>
      </c>
      <c r="B3" t="s">
        <v>28</v>
      </c>
      <c r="C3" s="3" t="s">
        <v>6</v>
      </c>
      <c r="D3" s="3" t="s">
        <v>21</v>
      </c>
      <c r="E3" s="3" t="s">
        <v>10</v>
      </c>
      <c r="F3" s="3">
        <v>1.64</v>
      </c>
      <c r="G3" s="7">
        <f t="shared" si="0"/>
        <v>0.494696241836107</v>
      </c>
      <c r="H3" s="3">
        <v>1.1200000000000001</v>
      </c>
      <c r="I3" s="7">
        <f t="shared" si="1"/>
        <v>0.11332868530700327</v>
      </c>
      <c r="J3" s="3">
        <v>2.4</v>
      </c>
      <c r="K3" s="7">
        <f t="shared" si="2"/>
        <v>0.87546873735389985</v>
      </c>
      <c r="L3" s="7" t="str">
        <f t="shared" si="3"/>
        <v>1.64 (1.12, 2.40)</v>
      </c>
      <c r="M3" s="8">
        <v>0.79200000000000004</v>
      </c>
      <c r="N3" s="2">
        <v>5</v>
      </c>
      <c r="O3" s="9">
        <v>5</v>
      </c>
      <c r="P3" s="5"/>
      <c r="Q3" s="1"/>
      <c r="R3" s="4"/>
    </row>
    <row r="4" spans="1:18" x14ac:dyDescent="0.25">
      <c r="A4" s="1">
        <v>3</v>
      </c>
      <c r="B4" t="s">
        <v>28</v>
      </c>
      <c r="C4" s="3" t="s">
        <v>6</v>
      </c>
      <c r="D4" s="3" t="s">
        <v>21</v>
      </c>
      <c r="E4" s="3" t="s">
        <v>8</v>
      </c>
      <c r="F4" s="3">
        <v>1.19</v>
      </c>
      <c r="G4" s="7">
        <f t="shared" si="0"/>
        <v>0.17395330712343798</v>
      </c>
      <c r="H4" s="1">
        <v>0.99</v>
      </c>
      <c r="I4" s="7">
        <f t="shared" si="1"/>
        <v>-1.0050335853501451E-2</v>
      </c>
      <c r="J4" s="1">
        <v>1.42</v>
      </c>
      <c r="K4" s="7">
        <f t="shared" si="2"/>
        <v>0.35065687161316933</v>
      </c>
      <c r="L4" s="7" t="str">
        <f t="shared" si="3"/>
        <v>1.19 (0.99, 1.42)</v>
      </c>
      <c r="M4" s="8">
        <v>0.63500000000000001</v>
      </c>
      <c r="N4" s="1">
        <v>14</v>
      </c>
      <c r="O4" s="9">
        <v>22</v>
      </c>
      <c r="P4" s="5"/>
      <c r="Q4" s="1"/>
      <c r="R4" s="4"/>
    </row>
    <row r="5" spans="1:18" x14ac:dyDescent="0.25">
      <c r="A5" s="1">
        <v>4</v>
      </c>
      <c r="B5" t="s">
        <v>28</v>
      </c>
      <c r="C5" s="3" t="s">
        <v>7</v>
      </c>
      <c r="D5" s="3" t="s">
        <v>21</v>
      </c>
      <c r="E5" s="3" t="s">
        <v>9</v>
      </c>
      <c r="F5" s="3">
        <v>1.62</v>
      </c>
      <c r="G5" s="7">
        <f>LN(F5)</f>
        <v>0.48242614924429278</v>
      </c>
      <c r="H5" s="3">
        <v>1.27</v>
      </c>
      <c r="I5" s="7">
        <f t="shared" si="1"/>
        <v>0.23901690047049992</v>
      </c>
      <c r="J5" s="3">
        <v>2.0699999999999998</v>
      </c>
      <c r="K5" s="7">
        <f t="shared" si="2"/>
        <v>0.72754860727727766</v>
      </c>
      <c r="L5" s="7" t="str">
        <f t="shared" si="3"/>
        <v>1.62 (1.27, 2.07)</v>
      </c>
      <c r="M5" s="8">
        <v>0.70599999999999996</v>
      </c>
      <c r="N5" s="2">
        <v>22</v>
      </c>
      <c r="O5" s="2">
        <v>28</v>
      </c>
      <c r="P5" s="6"/>
      <c r="Q5" s="2"/>
      <c r="R5" s="4"/>
    </row>
    <row r="6" spans="1:18" x14ac:dyDescent="0.25">
      <c r="A6" s="1">
        <v>5</v>
      </c>
      <c r="B6" t="s">
        <v>28</v>
      </c>
      <c r="C6" s="3" t="s">
        <v>7</v>
      </c>
      <c r="D6" s="3" t="s">
        <v>21</v>
      </c>
      <c r="E6" s="3" t="s">
        <v>10</v>
      </c>
      <c r="F6" s="3">
        <v>2.4300000000000002</v>
      </c>
      <c r="G6" s="7">
        <f t="shared" si="0"/>
        <v>0.88789125735245711</v>
      </c>
      <c r="H6" s="3">
        <v>1.46</v>
      </c>
      <c r="I6" s="7">
        <f t="shared" si="1"/>
        <v>0.37843643572024505</v>
      </c>
      <c r="J6" s="3">
        <v>4.05</v>
      </c>
      <c r="K6" s="7">
        <f t="shared" si="2"/>
        <v>1.3987168811184478</v>
      </c>
      <c r="L6" s="7" t="str">
        <f t="shared" si="3"/>
        <v>2.43 (1.46, 4.05)</v>
      </c>
      <c r="M6" s="8">
        <v>0.63300000000000001</v>
      </c>
      <c r="N6" s="2">
        <v>7</v>
      </c>
      <c r="O6" s="9">
        <v>9</v>
      </c>
      <c r="P6" s="6"/>
      <c r="Q6" s="2"/>
      <c r="R6" s="4"/>
    </row>
    <row r="7" spans="1:18" x14ac:dyDescent="0.25">
      <c r="A7" s="1">
        <v>6</v>
      </c>
      <c r="B7" t="s">
        <v>28</v>
      </c>
      <c r="C7" s="3" t="s">
        <v>7</v>
      </c>
      <c r="D7" s="3" t="s">
        <v>21</v>
      </c>
      <c r="E7" s="3" t="s">
        <v>8</v>
      </c>
      <c r="F7" s="3">
        <v>1.55</v>
      </c>
      <c r="G7" s="7">
        <f t="shared" si="0"/>
        <v>0.43825493093115531</v>
      </c>
      <c r="H7" s="3">
        <v>1.24</v>
      </c>
      <c r="I7" s="7">
        <f t="shared" si="1"/>
        <v>0.21511137961694549</v>
      </c>
      <c r="J7" s="3">
        <v>1.94</v>
      </c>
      <c r="K7" s="7">
        <f t="shared" si="2"/>
        <v>0.66268797307523675</v>
      </c>
      <c r="L7" s="7" t="str">
        <f t="shared" si="3"/>
        <v>1.55 (1.24, 1.94)</v>
      </c>
      <c r="M7" s="8">
        <v>0.68799999999999994</v>
      </c>
      <c r="N7" s="2">
        <v>22</v>
      </c>
      <c r="O7" s="9">
        <v>28</v>
      </c>
      <c r="P7" s="6"/>
      <c r="Q7" s="1"/>
      <c r="R7" s="4"/>
    </row>
    <row r="8" spans="1:18" x14ac:dyDescent="0.25">
      <c r="A8" s="1">
        <v>7</v>
      </c>
      <c r="B8" t="s">
        <v>28</v>
      </c>
      <c r="C8" s="3" t="s">
        <v>29</v>
      </c>
      <c r="D8" s="3" t="s">
        <v>21</v>
      </c>
      <c r="E8" s="3" t="s">
        <v>9</v>
      </c>
      <c r="F8" s="3">
        <v>1.21</v>
      </c>
      <c r="G8" s="7">
        <f t="shared" si="0"/>
        <v>0.1906203596086497</v>
      </c>
      <c r="H8" s="3">
        <v>0.96</v>
      </c>
      <c r="I8" s="7">
        <f t="shared" si="1"/>
        <v>-4.0821994520255166E-2</v>
      </c>
      <c r="J8" s="3">
        <v>1.51</v>
      </c>
      <c r="K8" s="7">
        <f t="shared" si="2"/>
        <v>0.41210965082683298</v>
      </c>
      <c r="L8" s="7" t="str">
        <f t="shared" si="3"/>
        <v>1.21 (0.96, 1.51)</v>
      </c>
      <c r="M8" s="8">
        <v>0.65200000000000002</v>
      </c>
      <c r="N8" s="2">
        <v>13</v>
      </c>
      <c r="O8" s="9">
        <v>18</v>
      </c>
      <c r="P8" s="6"/>
      <c r="Q8" s="2"/>
      <c r="R8" s="2"/>
    </row>
    <row r="9" spans="1:18" x14ac:dyDescent="0.25">
      <c r="A9" s="1">
        <v>8</v>
      </c>
      <c r="B9" t="s">
        <v>28</v>
      </c>
      <c r="C9" s="3" t="s">
        <v>29</v>
      </c>
      <c r="D9" s="3" t="s">
        <v>21</v>
      </c>
      <c r="E9" s="3" t="s">
        <v>10</v>
      </c>
      <c r="F9" s="3">
        <v>1.42</v>
      </c>
      <c r="G9" s="7">
        <f t="shared" si="0"/>
        <v>0.35065687161316933</v>
      </c>
      <c r="H9" s="3">
        <v>1.1000000000000001</v>
      </c>
      <c r="I9" s="7">
        <f t="shared" si="1"/>
        <v>9.5310179804324935E-2</v>
      </c>
      <c r="J9" s="3">
        <v>1.83</v>
      </c>
      <c r="K9" s="7">
        <f t="shared" si="2"/>
        <v>0.60431596685332956</v>
      </c>
      <c r="L9" s="7" t="str">
        <f t="shared" si="3"/>
        <v>1.42 (1.10, 1.83)</v>
      </c>
      <c r="M9" s="8">
        <v>0.61199999999999999</v>
      </c>
      <c r="N9" s="2">
        <v>7</v>
      </c>
      <c r="O9" s="9">
        <v>10</v>
      </c>
      <c r="P9" s="6"/>
      <c r="Q9" s="2"/>
      <c r="R9" s="4"/>
    </row>
    <row r="10" spans="1:18" x14ac:dyDescent="0.25">
      <c r="A10" s="1">
        <v>9</v>
      </c>
      <c r="B10" t="s">
        <v>28</v>
      </c>
      <c r="C10" s="3" t="s">
        <v>29</v>
      </c>
      <c r="D10" s="3" t="s">
        <v>21</v>
      </c>
      <c r="E10" s="3" t="s">
        <v>8</v>
      </c>
      <c r="F10" s="1">
        <v>1.26</v>
      </c>
      <c r="G10" s="7">
        <f t="shared" si="0"/>
        <v>0.23111172096338664</v>
      </c>
      <c r="H10" s="3">
        <v>1.06</v>
      </c>
      <c r="I10" s="7">
        <f t="shared" si="1"/>
        <v>5.8268908123975824E-2</v>
      </c>
      <c r="J10" s="3">
        <v>1.5</v>
      </c>
      <c r="K10" s="7">
        <f t="shared" si="2"/>
        <v>0.40546510810816438</v>
      </c>
      <c r="L10" s="7" t="str">
        <f t="shared" si="3"/>
        <v>1.26 (1.06, 1.50)</v>
      </c>
      <c r="M10" s="8">
        <v>0.55600000000000005</v>
      </c>
      <c r="N10" s="1">
        <v>14</v>
      </c>
      <c r="O10" s="9">
        <v>19</v>
      </c>
      <c r="P10" s="6"/>
      <c r="Q10" s="2"/>
      <c r="R10" s="4"/>
    </row>
    <row r="11" spans="1:18" x14ac:dyDescent="0.25">
      <c r="A11" s="1">
        <v>10</v>
      </c>
      <c r="B11" t="s">
        <v>28</v>
      </c>
      <c r="C11" s="3" t="s">
        <v>27</v>
      </c>
      <c r="D11" s="3" t="s">
        <v>21</v>
      </c>
      <c r="E11" s="3" t="s">
        <v>9</v>
      </c>
      <c r="F11" s="1">
        <v>1.17</v>
      </c>
      <c r="G11" s="7">
        <f t="shared" si="0"/>
        <v>0.15700374880966469</v>
      </c>
      <c r="H11" s="3">
        <v>0.78</v>
      </c>
      <c r="I11" s="7">
        <f t="shared" si="1"/>
        <v>-0.24846135929849961</v>
      </c>
      <c r="J11" s="1">
        <v>1.75</v>
      </c>
      <c r="K11" s="7">
        <f t="shared" si="2"/>
        <v>0.55961578793542266</v>
      </c>
      <c r="L11" s="7" t="str">
        <f t="shared" si="3"/>
        <v>1.17 (0.78, 1.75)</v>
      </c>
      <c r="M11" s="8">
        <v>0.61699999999999999</v>
      </c>
      <c r="N11" s="1">
        <v>5</v>
      </c>
      <c r="O11" s="9">
        <v>6</v>
      </c>
      <c r="P11" s="6"/>
      <c r="Q11" s="2"/>
      <c r="R11" s="4"/>
    </row>
    <row r="12" spans="1:18" x14ac:dyDescent="0.25">
      <c r="A12" s="1">
        <v>11</v>
      </c>
      <c r="B12" t="s">
        <v>28</v>
      </c>
      <c r="C12" s="3" t="s">
        <v>27</v>
      </c>
      <c r="D12" s="3" t="s">
        <v>21</v>
      </c>
      <c r="E12" s="3" t="s">
        <v>10</v>
      </c>
      <c r="F12" s="1">
        <v>1.36</v>
      </c>
      <c r="G12" s="7">
        <f t="shared" si="0"/>
        <v>0.30748469974796072</v>
      </c>
      <c r="H12" s="3">
        <v>0.98</v>
      </c>
      <c r="I12" s="7">
        <f t="shared" si="1"/>
        <v>-2.0202707317519466E-2</v>
      </c>
      <c r="J12" s="1">
        <v>1.87</v>
      </c>
      <c r="K12" s="7">
        <f t="shared" si="2"/>
        <v>0.62593843086649537</v>
      </c>
      <c r="L12" s="7" t="str">
        <f t="shared" si="3"/>
        <v>1.36 (0.98, 1.87)</v>
      </c>
      <c r="M12" s="8">
        <v>0</v>
      </c>
      <c r="N12" s="1">
        <v>3</v>
      </c>
      <c r="O12" s="9">
        <v>4</v>
      </c>
      <c r="P12" s="6"/>
      <c r="Q12" s="2"/>
      <c r="R12" s="4"/>
    </row>
    <row r="13" spans="1:18" x14ac:dyDescent="0.25">
      <c r="A13" s="1">
        <v>12</v>
      </c>
      <c r="B13" t="s">
        <v>28</v>
      </c>
      <c r="C13" s="3" t="s">
        <v>27</v>
      </c>
      <c r="D13" s="3" t="s">
        <v>21</v>
      </c>
      <c r="E13" s="3" t="s">
        <v>8</v>
      </c>
      <c r="F13" s="1">
        <v>1.1499999999999999</v>
      </c>
      <c r="G13" s="7">
        <f t="shared" si="0"/>
        <v>0.13976194237515863</v>
      </c>
      <c r="H13" s="3">
        <v>0.77</v>
      </c>
      <c r="I13" s="7">
        <f t="shared" si="1"/>
        <v>-0.26136476413440751</v>
      </c>
      <c r="J13" s="1">
        <v>1.71</v>
      </c>
      <c r="K13" s="7">
        <f t="shared" si="2"/>
        <v>0.53649337051456847</v>
      </c>
      <c r="L13" s="7" t="str">
        <f t="shared" si="3"/>
        <v>1.15 (0.77, 1.71)</v>
      </c>
      <c r="M13" s="8">
        <v>0.59099999999999997</v>
      </c>
      <c r="N13" s="1">
        <v>5</v>
      </c>
      <c r="O13" s="9">
        <v>6</v>
      </c>
      <c r="P13" s="6"/>
      <c r="Q13" s="1"/>
      <c r="R13" s="4"/>
    </row>
    <row r="14" spans="1:18" x14ac:dyDescent="0.25">
      <c r="A14" s="1">
        <v>13</v>
      </c>
      <c r="B14" t="s">
        <v>28</v>
      </c>
      <c r="C14" s="3" t="s">
        <v>23</v>
      </c>
      <c r="D14" s="3" t="s">
        <v>21</v>
      </c>
      <c r="E14" s="3" t="s">
        <v>9</v>
      </c>
      <c r="F14" s="1">
        <v>1.32</v>
      </c>
      <c r="G14" s="7">
        <f t="shared" si="0"/>
        <v>0.27763173659827955</v>
      </c>
      <c r="H14" s="3">
        <v>1.1599999999999999</v>
      </c>
      <c r="I14" s="7">
        <f t="shared" si="1"/>
        <v>0.14842000511827322</v>
      </c>
      <c r="J14" s="3">
        <v>1.5</v>
      </c>
      <c r="K14" s="7">
        <f t="shared" si="2"/>
        <v>0.40546510810816438</v>
      </c>
      <c r="L14" s="7" t="str">
        <f t="shared" si="3"/>
        <v>1.32 (1.16, 1.50)</v>
      </c>
      <c r="M14" s="8">
        <v>0.65200000000000002</v>
      </c>
      <c r="N14" s="1">
        <v>40</v>
      </c>
      <c r="O14" s="9">
        <v>74</v>
      </c>
      <c r="P14" s="6"/>
      <c r="Q14" s="1"/>
      <c r="R14" s="4"/>
    </row>
    <row r="15" spans="1:18" x14ac:dyDescent="0.25">
      <c r="A15" s="1">
        <v>14</v>
      </c>
      <c r="B15" t="s">
        <v>28</v>
      </c>
      <c r="C15" s="3" t="s">
        <v>23</v>
      </c>
      <c r="D15" s="3" t="s">
        <v>21</v>
      </c>
      <c r="E15" s="3" t="s">
        <v>10</v>
      </c>
      <c r="F15" s="3">
        <v>1.6</v>
      </c>
      <c r="G15" s="7">
        <f t="shared" si="0"/>
        <v>0.47000362924573563</v>
      </c>
      <c r="H15" s="3">
        <v>1.33</v>
      </c>
      <c r="I15" s="7">
        <f t="shared" si="1"/>
        <v>0.28517894223366247</v>
      </c>
      <c r="J15" s="1">
        <v>1.92</v>
      </c>
      <c r="K15" s="7">
        <f t="shared" si="2"/>
        <v>0.65232518603969014</v>
      </c>
      <c r="L15" s="7" t="str">
        <f t="shared" si="3"/>
        <v>1.60 (1.33, 1.92)</v>
      </c>
      <c r="M15" s="8">
        <v>0.68400000000000005</v>
      </c>
      <c r="N15" s="1">
        <v>19</v>
      </c>
      <c r="O15" s="9">
        <v>28</v>
      </c>
      <c r="P15" s="6"/>
      <c r="Q15" s="1"/>
      <c r="R15" s="4"/>
    </row>
    <row r="16" spans="1:18" x14ac:dyDescent="0.25">
      <c r="A16" s="1">
        <v>15</v>
      </c>
      <c r="B16" t="s">
        <v>28</v>
      </c>
      <c r="C16" s="3" t="s">
        <v>23</v>
      </c>
      <c r="D16" s="3" t="s">
        <v>21</v>
      </c>
      <c r="E16" s="3" t="s">
        <v>8</v>
      </c>
      <c r="F16" s="3">
        <v>1.31</v>
      </c>
      <c r="G16" s="7">
        <f t="shared" si="0"/>
        <v>0.27002713721306021</v>
      </c>
      <c r="H16" s="3">
        <v>1.1599999999999999</v>
      </c>
      <c r="I16" s="7">
        <f t="shared" si="1"/>
        <v>0.14842000511827322</v>
      </c>
      <c r="J16" s="3">
        <v>1.48</v>
      </c>
      <c r="K16" s="7">
        <f t="shared" si="2"/>
        <v>0.39204208777602367</v>
      </c>
      <c r="L16" s="7" t="str">
        <f t="shared" si="3"/>
        <v>1.31 (1.16, 1.48)</v>
      </c>
      <c r="M16" s="8">
        <v>0.63400000000000001</v>
      </c>
      <c r="N16" s="1">
        <v>41</v>
      </c>
      <c r="O16" s="9">
        <v>75</v>
      </c>
      <c r="P16" s="6"/>
      <c r="Q16" s="1"/>
      <c r="R16" s="4"/>
    </row>
    <row r="17" spans="1:15" x14ac:dyDescent="0.25">
      <c r="A17" s="1">
        <v>16</v>
      </c>
      <c r="B17" t="s">
        <v>28</v>
      </c>
      <c r="C17" s="3" t="s">
        <v>6</v>
      </c>
      <c r="D17" s="3" t="s">
        <v>22</v>
      </c>
      <c r="E17" s="3" t="s">
        <v>9</v>
      </c>
      <c r="F17" s="3">
        <v>1.42</v>
      </c>
      <c r="G17" s="7">
        <f t="shared" si="0"/>
        <v>0.35065687161316933</v>
      </c>
      <c r="H17" s="3">
        <v>1.19</v>
      </c>
      <c r="I17" s="7">
        <f t="shared" si="1"/>
        <v>0.17395330712343798</v>
      </c>
      <c r="J17" s="3">
        <v>1.7</v>
      </c>
      <c r="K17" s="7">
        <f t="shared" si="2"/>
        <v>0.53062825106217038</v>
      </c>
      <c r="L17" s="7" t="str">
        <f t="shared" si="3"/>
        <v>1.42 (1.19, 1.70)</v>
      </c>
      <c r="M17" s="8">
        <v>0.32900000000000001</v>
      </c>
      <c r="N17" s="2">
        <v>14</v>
      </c>
      <c r="O17" s="9">
        <v>21</v>
      </c>
    </row>
    <row r="18" spans="1:15" x14ac:dyDescent="0.25">
      <c r="A18" s="1">
        <v>17</v>
      </c>
      <c r="B18" t="s">
        <v>28</v>
      </c>
      <c r="C18" s="3" t="s">
        <v>6</v>
      </c>
      <c r="D18" s="3" t="s">
        <v>22</v>
      </c>
      <c r="E18" s="3" t="s">
        <v>10</v>
      </c>
      <c r="F18" s="3">
        <v>1.32</v>
      </c>
      <c r="G18" s="7">
        <f t="shared" si="0"/>
        <v>0.27763173659827955</v>
      </c>
      <c r="H18" s="3">
        <v>1.1499999999999999</v>
      </c>
      <c r="I18" s="7">
        <f t="shared" si="1"/>
        <v>0.13976194237515863</v>
      </c>
      <c r="J18" s="3">
        <v>1.52</v>
      </c>
      <c r="K18" s="7">
        <f t="shared" si="2"/>
        <v>0.41871033485818504</v>
      </c>
      <c r="L18" s="7" t="str">
        <f t="shared" si="3"/>
        <v>1.32 (1.15, 1.52)</v>
      </c>
      <c r="M18" s="8">
        <v>0.36099999999999999</v>
      </c>
      <c r="N18" s="2">
        <v>6</v>
      </c>
      <c r="O18" s="9">
        <v>7</v>
      </c>
    </row>
    <row r="19" spans="1:15" x14ac:dyDescent="0.25">
      <c r="A19" s="1">
        <v>18</v>
      </c>
      <c r="B19" t="s">
        <v>28</v>
      </c>
      <c r="C19" s="3" t="s">
        <v>6</v>
      </c>
      <c r="D19" s="3" t="s">
        <v>22</v>
      </c>
      <c r="E19" s="3" t="s">
        <v>8</v>
      </c>
      <c r="F19" s="3">
        <v>1.29</v>
      </c>
      <c r="G19" s="7">
        <f t="shared" si="0"/>
        <v>0.25464221837358075</v>
      </c>
      <c r="H19" s="1">
        <v>1.1499999999999999</v>
      </c>
      <c r="I19" s="7">
        <f t="shared" si="1"/>
        <v>0.13976194237515863</v>
      </c>
      <c r="J19" s="1">
        <v>1.44</v>
      </c>
      <c r="K19" s="7">
        <f t="shared" si="2"/>
        <v>0.36464311358790924</v>
      </c>
      <c r="L19" s="7" t="str">
        <f t="shared" si="3"/>
        <v>1.29 (1.15, 1.44)</v>
      </c>
      <c r="M19" s="8">
        <v>0</v>
      </c>
      <c r="N19" s="1">
        <v>14</v>
      </c>
      <c r="O19" s="9">
        <v>21</v>
      </c>
    </row>
    <row r="20" spans="1:15" x14ac:dyDescent="0.25">
      <c r="A20" s="1">
        <v>19</v>
      </c>
      <c r="B20" t="s">
        <v>28</v>
      </c>
      <c r="C20" s="3" t="s">
        <v>7</v>
      </c>
      <c r="D20" s="3" t="s">
        <v>22</v>
      </c>
      <c r="E20" s="3" t="s">
        <v>9</v>
      </c>
      <c r="F20" s="3">
        <v>1.49</v>
      </c>
      <c r="G20" s="7">
        <f>LN(F20)</f>
        <v>0.39877611995736778</v>
      </c>
      <c r="H20" s="3">
        <v>1.23</v>
      </c>
      <c r="I20" s="7">
        <f t="shared" si="1"/>
        <v>0.20701416938432612</v>
      </c>
      <c r="J20" s="3">
        <v>1.8</v>
      </c>
      <c r="K20" s="7">
        <f t="shared" si="2"/>
        <v>0.58778666490211906</v>
      </c>
      <c r="L20" s="7" t="str">
        <f t="shared" si="3"/>
        <v>1.49 (1.23, 1.80)</v>
      </c>
      <c r="M20" s="8">
        <v>0.78900000000000003</v>
      </c>
      <c r="N20" s="1">
        <v>24</v>
      </c>
      <c r="O20" s="1">
        <v>28</v>
      </c>
    </row>
    <row r="21" spans="1:15" x14ac:dyDescent="0.25">
      <c r="A21" s="1">
        <v>20</v>
      </c>
      <c r="B21" t="s">
        <v>28</v>
      </c>
      <c r="C21" s="3" t="s">
        <v>7</v>
      </c>
      <c r="D21" s="3" t="s">
        <v>22</v>
      </c>
      <c r="E21" s="3" t="s">
        <v>10</v>
      </c>
      <c r="F21" s="3">
        <v>1.57</v>
      </c>
      <c r="G21" s="7">
        <f t="shared" si="0"/>
        <v>0.45107561936021673</v>
      </c>
      <c r="H21" s="3">
        <v>1.27</v>
      </c>
      <c r="I21" s="7">
        <f t="shared" si="1"/>
        <v>0.23901690047049992</v>
      </c>
      <c r="J21" s="3">
        <v>1.93</v>
      </c>
      <c r="K21" s="7">
        <f t="shared" si="2"/>
        <v>0.65752000291679413</v>
      </c>
      <c r="L21" s="7" t="str">
        <f t="shared" si="3"/>
        <v>1.57 (1.27, 1.93)</v>
      </c>
      <c r="M21" s="8">
        <v>0.40200000000000002</v>
      </c>
      <c r="N21" s="2">
        <v>12</v>
      </c>
      <c r="O21" s="2">
        <v>14</v>
      </c>
    </row>
    <row r="22" spans="1:15" x14ac:dyDescent="0.25">
      <c r="A22" s="1">
        <v>21</v>
      </c>
      <c r="B22" t="s">
        <v>28</v>
      </c>
      <c r="C22" s="3" t="s">
        <v>7</v>
      </c>
      <c r="D22" s="3" t="s">
        <v>22</v>
      </c>
      <c r="E22" s="3" t="s">
        <v>8</v>
      </c>
      <c r="F22" s="3">
        <v>1.4</v>
      </c>
      <c r="G22" s="7">
        <f t="shared" si="0"/>
        <v>0.33647223662121289</v>
      </c>
      <c r="H22" s="3">
        <v>1.21</v>
      </c>
      <c r="I22" s="7">
        <f t="shared" si="1"/>
        <v>0.1906203596086497</v>
      </c>
      <c r="J22" s="3">
        <v>1.63</v>
      </c>
      <c r="K22" s="7">
        <f t="shared" si="2"/>
        <v>0.48858001481867092</v>
      </c>
      <c r="L22" s="7" t="str">
        <f t="shared" si="3"/>
        <v>1.40 (1.21, 1.63)</v>
      </c>
      <c r="M22" s="8">
        <v>0.47199999999999998</v>
      </c>
      <c r="N22" s="2">
        <v>24</v>
      </c>
      <c r="O22" s="9">
        <v>28</v>
      </c>
    </row>
    <row r="23" spans="1:15" x14ac:dyDescent="0.25">
      <c r="A23" s="1">
        <v>22</v>
      </c>
      <c r="B23" t="s">
        <v>28</v>
      </c>
      <c r="C23" s="3" t="s">
        <v>29</v>
      </c>
      <c r="D23" s="3" t="s">
        <v>22</v>
      </c>
      <c r="E23" s="3" t="s">
        <v>9</v>
      </c>
      <c r="F23" s="3">
        <v>1.34</v>
      </c>
      <c r="G23" s="7">
        <f t="shared" si="0"/>
        <v>0.29266961396282004</v>
      </c>
      <c r="H23" s="3">
        <v>1.1000000000000001</v>
      </c>
      <c r="I23" s="7">
        <f t="shared" si="1"/>
        <v>9.5310179804324935E-2</v>
      </c>
      <c r="J23" s="3">
        <v>1.62</v>
      </c>
      <c r="K23" s="7">
        <f t="shared" si="2"/>
        <v>0.48242614924429278</v>
      </c>
      <c r="L23" s="7" t="str">
        <f t="shared" si="3"/>
        <v>1.34 (1.10, 1.62)</v>
      </c>
      <c r="M23" s="8">
        <v>0.68</v>
      </c>
      <c r="N23" s="2">
        <v>11</v>
      </c>
      <c r="O23" s="9">
        <v>16</v>
      </c>
    </row>
    <row r="24" spans="1:15" x14ac:dyDescent="0.25">
      <c r="A24" s="1">
        <v>23</v>
      </c>
      <c r="B24" t="s">
        <v>28</v>
      </c>
      <c r="C24" s="3" t="s">
        <v>29</v>
      </c>
      <c r="D24" s="3" t="s">
        <v>22</v>
      </c>
      <c r="E24" s="3" t="s">
        <v>10</v>
      </c>
      <c r="F24" s="3">
        <v>1.38</v>
      </c>
      <c r="G24" s="7">
        <f t="shared" si="0"/>
        <v>0.32208349916911322</v>
      </c>
      <c r="H24" s="3">
        <v>1.24</v>
      </c>
      <c r="I24" s="7">
        <f t="shared" si="1"/>
        <v>0.21511137961694549</v>
      </c>
      <c r="J24" s="3">
        <v>1.55</v>
      </c>
      <c r="K24" s="7">
        <f t="shared" si="2"/>
        <v>0.43825493093115531</v>
      </c>
      <c r="L24" s="7" t="str">
        <f t="shared" si="3"/>
        <v>1.38 (1.24, 1.55)</v>
      </c>
      <c r="M24" s="8">
        <v>0</v>
      </c>
      <c r="N24" s="2">
        <v>4</v>
      </c>
      <c r="O24" s="9">
        <v>7</v>
      </c>
    </row>
    <row r="25" spans="1:15" x14ac:dyDescent="0.25">
      <c r="A25" s="1">
        <v>24</v>
      </c>
      <c r="B25" t="s">
        <v>28</v>
      </c>
      <c r="C25" s="3" t="s">
        <v>29</v>
      </c>
      <c r="D25" s="3" t="s">
        <v>22</v>
      </c>
      <c r="E25" s="3" t="s">
        <v>8</v>
      </c>
      <c r="F25" s="1">
        <v>1.29</v>
      </c>
      <c r="G25" s="7">
        <f t="shared" si="0"/>
        <v>0.25464221837358075</v>
      </c>
      <c r="H25" s="3">
        <v>1.1299999999999999</v>
      </c>
      <c r="I25" s="7">
        <f t="shared" si="1"/>
        <v>0.12221763272424911</v>
      </c>
      <c r="J25" s="1">
        <v>1.48</v>
      </c>
      <c r="K25" s="7">
        <f t="shared" si="2"/>
        <v>0.39204208777602367</v>
      </c>
      <c r="L25" s="7" t="str">
        <f t="shared" si="3"/>
        <v>1.29 (1.13, 1.48)</v>
      </c>
      <c r="M25" s="8">
        <v>0.56599999999999995</v>
      </c>
      <c r="N25" s="1">
        <v>12</v>
      </c>
      <c r="O25" s="9">
        <v>17</v>
      </c>
    </row>
    <row r="26" spans="1:15" x14ac:dyDescent="0.25">
      <c r="A26" s="1">
        <v>25</v>
      </c>
      <c r="B26" t="s">
        <v>28</v>
      </c>
      <c r="C26" s="3" t="s">
        <v>23</v>
      </c>
      <c r="D26" s="3" t="s">
        <v>22</v>
      </c>
      <c r="E26" s="3" t="s">
        <v>9</v>
      </c>
      <c r="F26" s="1">
        <v>1.42</v>
      </c>
      <c r="G26" s="7">
        <f t="shared" si="0"/>
        <v>0.35065687161316933</v>
      </c>
      <c r="H26" s="3">
        <v>1.27</v>
      </c>
      <c r="I26" s="7">
        <f t="shared" si="1"/>
        <v>0.23901690047049992</v>
      </c>
      <c r="J26" s="1">
        <v>1.59</v>
      </c>
      <c r="K26" s="7">
        <f t="shared" si="2"/>
        <v>0.46373401623214022</v>
      </c>
      <c r="L26" s="7" t="str">
        <f t="shared" si="3"/>
        <v>1.42 (1.27, 1.59)</v>
      </c>
      <c r="M26" s="8">
        <v>0.68200000000000005</v>
      </c>
      <c r="N26" s="1">
        <v>35</v>
      </c>
      <c r="O26" s="9">
        <v>67</v>
      </c>
    </row>
    <row r="27" spans="1:15" x14ac:dyDescent="0.25">
      <c r="A27" s="1">
        <v>26</v>
      </c>
      <c r="B27" t="s">
        <v>28</v>
      </c>
      <c r="C27" s="3" t="s">
        <v>23</v>
      </c>
      <c r="D27" s="3" t="s">
        <v>22</v>
      </c>
      <c r="E27" s="3" t="s">
        <v>10</v>
      </c>
      <c r="F27" s="1">
        <v>1.51</v>
      </c>
      <c r="G27" s="7">
        <f t="shared" si="0"/>
        <v>0.41210965082683298</v>
      </c>
      <c r="H27" s="3">
        <v>1.31</v>
      </c>
      <c r="I27" s="7">
        <f t="shared" si="1"/>
        <v>0.27002713721306021</v>
      </c>
      <c r="J27" s="1">
        <v>1.74</v>
      </c>
      <c r="K27" s="7">
        <f t="shared" si="2"/>
        <v>0.55388511322643763</v>
      </c>
      <c r="L27" s="7" t="str">
        <f t="shared" si="3"/>
        <v>1.51 (1.31, 1.74)</v>
      </c>
      <c r="M27" s="8">
        <v>0.27300000000000002</v>
      </c>
      <c r="N27" s="1">
        <v>16</v>
      </c>
      <c r="O27" s="9">
        <v>28</v>
      </c>
    </row>
    <row r="28" spans="1:15" x14ac:dyDescent="0.25">
      <c r="A28" s="1">
        <v>27</v>
      </c>
      <c r="B28" t="s">
        <v>28</v>
      </c>
      <c r="C28" s="3" t="s">
        <v>23</v>
      </c>
      <c r="D28" s="3" t="s">
        <v>22</v>
      </c>
      <c r="E28" s="3" t="s">
        <v>8</v>
      </c>
      <c r="F28" s="1">
        <v>1.35</v>
      </c>
      <c r="G28" s="7">
        <f t="shared" si="0"/>
        <v>0.30010459245033816</v>
      </c>
      <c r="H28" s="3">
        <v>1.23</v>
      </c>
      <c r="I28" s="7">
        <f t="shared" si="1"/>
        <v>0.20701416938432612</v>
      </c>
      <c r="J28" s="1">
        <v>1.48</v>
      </c>
      <c r="K28" s="7">
        <f t="shared" si="2"/>
        <v>0.39204208777602367</v>
      </c>
      <c r="L28" s="7" t="str">
        <f t="shared" si="3"/>
        <v>1.35 (1.23, 1.48)</v>
      </c>
      <c r="M28" s="8">
        <v>0.39100000000000001</v>
      </c>
      <c r="N28" s="1">
        <v>36</v>
      </c>
      <c r="O28" s="9">
        <v>68</v>
      </c>
    </row>
    <row r="29" spans="1:15" x14ac:dyDescent="0.25">
      <c r="A29" s="1">
        <v>30</v>
      </c>
      <c r="B29" t="s">
        <v>19</v>
      </c>
      <c r="C29" s="3" t="s">
        <v>23</v>
      </c>
      <c r="D29" s="3" t="s">
        <v>21</v>
      </c>
      <c r="E29" s="3" t="s">
        <v>9</v>
      </c>
      <c r="F29" s="7">
        <v>1.25</v>
      </c>
      <c r="G29" s="7">
        <f t="shared" si="0"/>
        <v>0.22314355131420976</v>
      </c>
      <c r="H29" s="7">
        <v>0.92</v>
      </c>
      <c r="I29" s="7">
        <f t="shared" si="1"/>
        <v>-8.3381608939051013E-2</v>
      </c>
      <c r="J29" s="7">
        <v>1.69</v>
      </c>
      <c r="K29" s="7">
        <f t="shared" si="2"/>
        <v>0.52472852893498212</v>
      </c>
      <c r="L29" s="7" t="str">
        <f t="shared" si="3"/>
        <v>1.25 (0.92, 1.69)</v>
      </c>
      <c r="M29" s="8">
        <v>0.82</v>
      </c>
      <c r="N29" s="2">
        <v>5</v>
      </c>
      <c r="O29" s="9">
        <v>6</v>
      </c>
    </row>
    <row r="30" spans="1:15" x14ac:dyDescent="0.25">
      <c r="A30" s="1">
        <v>31</v>
      </c>
      <c r="B30" t="s">
        <v>19</v>
      </c>
      <c r="C30" s="3" t="s">
        <v>23</v>
      </c>
      <c r="D30" s="3" t="s">
        <v>21</v>
      </c>
      <c r="E30" s="3" t="s">
        <v>10</v>
      </c>
      <c r="F30" s="7">
        <v>0.98</v>
      </c>
      <c r="G30" s="7">
        <f t="shared" si="0"/>
        <v>-2.0202707317519466E-2</v>
      </c>
      <c r="H30" s="7">
        <v>0.83</v>
      </c>
      <c r="I30" s="7">
        <f t="shared" si="1"/>
        <v>-0.18632957819149348</v>
      </c>
      <c r="J30" s="7">
        <v>1.17</v>
      </c>
      <c r="K30" s="7">
        <f t="shared" si="2"/>
        <v>0.15700374880966469</v>
      </c>
      <c r="L30" s="7" t="str">
        <f t="shared" si="3"/>
        <v>0.98 (0.83, 1.17)</v>
      </c>
      <c r="M30" s="8">
        <v>0.41699999999999998</v>
      </c>
      <c r="N30" s="2">
        <v>3</v>
      </c>
      <c r="O30" s="9">
        <v>4</v>
      </c>
    </row>
    <row r="31" spans="1:15" x14ac:dyDescent="0.25">
      <c r="A31" s="1">
        <v>32</v>
      </c>
      <c r="B31" t="s">
        <v>19</v>
      </c>
      <c r="C31" s="3" t="s">
        <v>23</v>
      </c>
      <c r="D31" s="3" t="s">
        <v>21</v>
      </c>
      <c r="E31" s="3" t="s">
        <v>8</v>
      </c>
      <c r="F31" s="3">
        <v>1.1100000000000001</v>
      </c>
      <c r="G31" s="7">
        <f>LN(F31)</f>
        <v>0.10436001532424286</v>
      </c>
      <c r="H31" s="3">
        <v>0.86</v>
      </c>
      <c r="I31" s="7">
        <f t="shared" si="1"/>
        <v>-0.15082288973458366</v>
      </c>
      <c r="J31" s="3">
        <v>1.45</v>
      </c>
      <c r="K31" s="7">
        <f t="shared" si="2"/>
        <v>0.37156355643248301</v>
      </c>
      <c r="L31" s="7" t="str">
        <f t="shared" si="3"/>
        <v>1.11 (0.86, 1.45)</v>
      </c>
      <c r="M31" s="8">
        <v>0.78700000000000003</v>
      </c>
      <c r="N31" s="1">
        <v>5</v>
      </c>
      <c r="O31" s="9">
        <v>8</v>
      </c>
    </row>
    <row r="32" spans="1:15" x14ac:dyDescent="0.25">
      <c r="A32" s="1">
        <v>36</v>
      </c>
      <c r="B32" t="s">
        <v>19</v>
      </c>
      <c r="C32" s="3" t="s">
        <v>7</v>
      </c>
      <c r="D32" s="3" t="s">
        <v>21</v>
      </c>
      <c r="E32" s="3" t="s">
        <v>9</v>
      </c>
      <c r="F32" s="7">
        <v>1.4</v>
      </c>
      <c r="G32" s="7">
        <f>LN(F32)</f>
        <v>0.33647223662121289</v>
      </c>
      <c r="H32" s="7">
        <v>0.85</v>
      </c>
      <c r="I32" s="7">
        <f>LN(H32)</f>
        <v>-0.16251892949777494</v>
      </c>
      <c r="J32" s="7">
        <v>2.31</v>
      </c>
      <c r="K32" s="7">
        <f>LN(J32)</f>
        <v>0.83724752453370221</v>
      </c>
      <c r="L32" s="7" t="str">
        <f t="shared" si="3"/>
        <v>1.40 (0.85, 2.31)</v>
      </c>
      <c r="M32" s="8">
        <v>0.872</v>
      </c>
      <c r="N32" s="2">
        <v>3</v>
      </c>
      <c r="O32" s="9">
        <v>3</v>
      </c>
    </row>
    <row r="33" spans="1:15" x14ac:dyDescent="0.25">
      <c r="A33" s="1">
        <v>37</v>
      </c>
      <c r="B33" t="s">
        <v>19</v>
      </c>
      <c r="C33" s="3" t="s">
        <v>7</v>
      </c>
      <c r="D33" s="3" t="s">
        <v>21</v>
      </c>
      <c r="E33" s="3" t="s">
        <v>8</v>
      </c>
      <c r="F33" s="7">
        <v>1.1000000000000001</v>
      </c>
      <c r="G33" s="7">
        <f>LN(F33)</f>
        <v>9.5310179804324935E-2</v>
      </c>
      <c r="H33" s="7">
        <v>0.84</v>
      </c>
      <c r="I33" s="7">
        <f>LN(H33)</f>
        <v>-0.1743533871447778</v>
      </c>
      <c r="J33" s="7">
        <v>1.43</v>
      </c>
      <c r="K33" s="7">
        <f>LN(J33)</f>
        <v>0.35767444427181588</v>
      </c>
      <c r="L33" s="7" t="str">
        <f t="shared" si="3"/>
        <v>1.10 (0.84, 1.43)</v>
      </c>
      <c r="M33" s="8">
        <v>0.70799999999999996</v>
      </c>
      <c r="N33" s="2">
        <v>3</v>
      </c>
      <c r="O33" s="9">
        <v>3</v>
      </c>
    </row>
    <row r="34" spans="1:15" x14ac:dyDescent="0.25">
      <c r="A34" s="1">
        <v>33</v>
      </c>
      <c r="B34" t="s">
        <v>19</v>
      </c>
      <c r="C34" s="3" t="s">
        <v>23</v>
      </c>
      <c r="D34" s="3" t="s">
        <v>22</v>
      </c>
      <c r="E34" s="3" t="s">
        <v>9</v>
      </c>
      <c r="F34" s="7">
        <v>1.06</v>
      </c>
      <c r="G34" s="7">
        <f t="shared" si="0"/>
        <v>5.8268908123975824E-2</v>
      </c>
      <c r="H34" s="7">
        <v>0.82</v>
      </c>
      <c r="I34" s="7">
        <f t="shared" si="1"/>
        <v>-0.19845093872383832</v>
      </c>
      <c r="J34" s="7">
        <v>1.37</v>
      </c>
      <c r="K34" s="7">
        <f t="shared" si="2"/>
        <v>0.3148107398400336</v>
      </c>
      <c r="L34" s="7" t="str">
        <f t="shared" ref="L34:L69" si="4">TEXT(F34,"0.00") &amp; " (" &amp; TEXT(H34,"0.00") &amp; ", " &amp; TEXT(J34,"0.00") &amp; ")"</f>
        <v>1.06 (0.82, 1.37)</v>
      </c>
      <c r="M34" s="8">
        <v>0.65400000000000003</v>
      </c>
      <c r="N34" s="2">
        <v>8</v>
      </c>
      <c r="O34" s="2">
        <v>20</v>
      </c>
    </row>
    <row r="35" spans="1:15" x14ac:dyDescent="0.25">
      <c r="A35" s="1">
        <v>34</v>
      </c>
      <c r="B35" t="s">
        <v>19</v>
      </c>
      <c r="C35" s="3" t="s">
        <v>23</v>
      </c>
      <c r="D35" s="3" t="s">
        <v>22</v>
      </c>
      <c r="E35" s="3" t="s">
        <v>10</v>
      </c>
      <c r="F35" s="3">
        <v>0.98</v>
      </c>
      <c r="G35" s="7">
        <f t="shared" si="0"/>
        <v>-2.0202707317519466E-2</v>
      </c>
      <c r="H35" s="3">
        <v>0.81</v>
      </c>
      <c r="I35" s="7">
        <f t="shared" si="1"/>
        <v>-0.21072103131565253</v>
      </c>
      <c r="J35" s="3">
        <v>1.19</v>
      </c>
      <c r="K35" s="7">
        <f t="shared" si="2"/>
        <v>0.17395330712343798</v>
      </c>
      <c r="L35" s="7" t="str">
        <f t="shared" si="4"/>
        <v>0.98 (0.81, 1.19)</v>
      </c>
      <c r="M35" s="8">
        <v>0.56100000000000005</v>
      </c>
      <c r="N35" s="2">
        <v>6</v>
      </c>
      <c r="O35" s="9">
        <v>12</v>
      </c>
    </row>
    <row r="36" spans="1:15" x14ac:dyDescent="0.25">
      <c r="A36" s="1">
        <v>35</v>
      </c>
      <c r="B36" t="s">
        <v>19</v>
      </c>
      <c r="C36" s="3" t="s">
        <v>23</v>
      </c>
      <c r="D36" s="3" t="s">
        <v>22</v>
      </c>
      <c r="E36" s="3" t="s">
        <v>8</v>
      </c>
      <c r="F36" s="3">
        <v>1.1000000000000001</v>
      </c>
      <c r="G36" s="7">
        <f t="shared" ref="G36:G69" si="5">LN(F36)</f>
        <v>9.5310179804324935E-2</v>
      </c>
      <c r="H36" s="3">
        <v>0.87</v>
      </c>
      <c r="I36" s="7">
        <f t="shared" ref="I36:I69" si="6">LN(H36)</f>
        <v>-0.13926206733350766</v>
      </c>
      <c r="J36" s="3">
        <v>1.39</v>
      </c>
      <c r="K36" s="7">
        <f t="shared" ref="K36:K69" si="7">LN(J36)</f>
        <v>0.3293037471426003</v>
      </c>
      <c r="L36" s="7" t="str">
        <f t="shared" si="4"/>
        <v>1.10 (0.87, 1.39)</v>
      </c>
      <c r="M36" s="8">
        <v>0.63400000000000001</v>
      </c>
      <c r="N36" s="2">
        <v>9</v>
      </c>
      <c r="O36" s="9">
        <v>22</v>
      </c>
    </row>
    <row r="37" spans="1:15" x14ac:dyDescent="0.25">
      <c r="A37" s="1">
        <v>36</v>
      </c>
      <c r="B37" t="s">
        <v>19</v>
      </c>
      <c r="C37" s="3" t="s">
        <v>6</v>
      </c>
      <c r="D37" s="3" t="s">
        <v>22</v>
      </c>
      <c r="E37" s="3" t="s">
        <v>9</v>
      </c>
      <c r="F37" s="7">
        <v>0.87</v>
      </c>
      <c r="G37" s="7">
        <f>LN(F37)</f>
        <v>-0.13926206733350766</v>
      </c>
      <c r="H37" s="7">
        <v>0.77</v>
      </c>
      <c r="I37" s="7">
        <f>LN(H37)</f>
        <v>-0.26136476413440751</v>
      </c>
      <c r="J37" s="7">
        <v>0.98</v>
      </c>
      <c r="K37" s="7">
        <f>LN(J37)</f>
        <v>-2.0202707317519466E-2</v>
      </c>
      <c r="L37" s="7" t="str">
        <f t="shared" si="4"/>
        <v>0.87 (0.77, 0.98)</v>
      </c>
      <c r="M37" s="8">
        <v>0</v>
      </c>
      <c r="N37" s="2">
        <v>3</v>
      </c>
      <c r="O37" s="9">
        <v>5</v>
      </c>
    </row>
    <row r="38" spans="1:15" x14ac:dyDescent="0.25">
      <c r="A38" s="1">
        <v>37</v>
      </c>
      <c r="B38" t="s">
        <v>19</v>
      </c>
      <c r="C38" s="3" t="s">
        <v>6</v>
      </c>
      <c r="D38" s="3" t="s">
        <v>22</v>
      </c>
      <c r="E38" s="3" t="s">
        <v>8</v>
      </c>
      <c r="F38" s="7">
        <v>0.87</v>
      </c>
      <c r="G38" s="7">
        <f>LN(F38)</f>
        <v>-0.13926206733350766</v>
      </c>
      <c r="H38" s="7">
        <v>0.77</v>
      </c>
      <c r="I38" s="7">
        <f>LN(H38)</f>
        <v>-0.26136476413440751</v>
      </c>
      <c r="J38" s="7">
        <v>0.99</v>
      </c>
      <c r="K38" s="7">
        <f>LN(J38)</f>
        <v>-1.0050335853501451E-2</v>
      </c>
      <c r="L38" s="7" t="str">
        <f t="shared" si="4"/>
        <v>0.87 (0.77, 0.99)</v>
      </c>
      <c r="M38" s="8">
        <v>0</v>
      </c>
      <c r="N38" s="2">
        <v>3</v>
      </c>
      <c r="O38" s="9">
        <v>5</v>
      </c>
    </row>
    <row r="39" spans="1:15" x14ac:dyDescent="0.25">
      <c r="A39" s="1">
        <v>38</v>
      </c>
      <c r="B39" t="s">
        <v>19</v>
      </c>
      <c r="C39" s="3" t="s">
        <v>7</v>
      </c>
      <c r="D39" s="3" t="s">
        <v>22</v>
      </c>
      <c r="E39" s="3" t="s">
        <v>9</v>
      </c>
      <c r="F39" s="7">
        <v>0.85</v>
      </c>
      <c r="G39" s="7">
        <f>LN(F39)</f>
        <v>-0.16251892949777494</v>
      </c>
      <c r="H39" s="7">
        <v>0.66</v>
      </c>
      <c r="I39" s="7">
        <f>LN(H39)</f>
        <v>-0.41551544396166579</v>
      </c>
      <c r="J39" s="7">
        <v>1.1100000000000001</v>
      </c>
      <c r="K39" s="7">
        <f>LN(J39)</f>
        <v>0.10436001532424286</v>
      </c>
      <c r="L39" s="7" t="str">
        <f t="shared" si="4"/>
        <v>0.85 (0.66, 1.11)</v>
      </c>
      <c r="M39" s="8">
        <v>0.78</v>
      </c>
      <c r="N39" s="2">
        <v>4</v>
      </c>
      <c r="O39" s="9">
        <v>5</v>
      </c>
    </row>
    <row r="40" spans="1:15" x14ac:dyDescent="0.25">
      <c r="A40" s="1">
        <v>39</v>
      </c>
      <c r="B40" t="s">
        <v>19</v>
      </c>
      <c r="C40" s="3" t="s">
        <v>7</v>
      </c>
      <c r="D40" s="3" t="s">
        <v>22</v>
      </c>
      <c r="E40" s="3" t="s">
        <v>8</v>
      </c>
      <c r="F40" s="7">
        <v>0.84</v>
      </c>
      <c r="G40" s="7">
        <f>LN(F40)</f>
        <v>-0.1743533871447778</v>
      </c>
      <c r="H40" s="7">
        <v>0.67</v>
      </c>
      <c r="I40" s="7">
        <f>LN(H40)</f>
        <v>-0.40047756659712525</v>
      </c>
      <c r="J40" s="7">
        <v>1.07</v>
      </c>
      <c r="K40" s="7">
        <f>LN(J40)</f>
        <v>6.7658648473814864E-2</v>
      </c>
      <c r="L40" s="7" t="str">
        <f t="shared" si="4"/>
        <v>0.84 (0.67, 1.07)</v>
      </c>
      <c r="M40" s="8">
        <v>0.71099999999999997</v>
      </c>
      <c r="N40" s="2">
        <v>4</v>
      </c>
      <c r="O40" s="9">
        <v>5</v>
      </c>
    </row>
    <row r="41" spans="1:15" x14ac:dyDescent="0.25">
      <c r="A41" s="1">
        <v>40</v>
      </c>
      <c r="B41" t="s">
        <v>19</v>
      </c>
      <c r="C41" s="3" t="s">
        <v>29</v>
      </c>
      <c r="D41" s="3" t="s">
        <v>22</v>
      </c>
      <c r="E41" s="3" t="s">
        <v>9</v>
      </c>
      <c r="F41" s="3">
        <v>1.01</v>
      </c>
      <c r="G41" s="7">
        <f t="shared" si="5"/>
        <v>9.950330853168092E-3</v>
      </c>
      <c r="H41" s="3">
        <v>0.68</v>
      </c>
      <c r="I41" s="7">
        <f t="shared" si="6"/>
        <v>-0.38566248081198462</v>
      </c>
      <c r="J41" s="3">
        <v>1.51</v>
      </c>
      <c r="K41" s="7">
        <f t="shared" si="7"/>
        <v>0.41210965082683298</v>
      </c>
      <c r="L41" s="7" t="str">
        <f t="shared" si="4"/>
        <v>1.01 (0.68, 1.51)</v>
      </c>
      <c r="M41" s="8">
        <v>0.80600000000000005</v>
      </c>
      <c r="N41" s="2">
        <v>5</v>
      </c>
      <c r="O41" s="9">
        <v>6</v>
      </c>
    </row>
    <row r="42" spans="1:15" x14ac:dyDescent="0.25">
      <c r="A42" s="1">
        <v>41</v>
      </c>
      <c r="B42" t="s">
        <v>19</v>
      </c>
      <c r="C42" s="3" t="s">
        <v>29</v>
      </c>
      <c r="D42" s="3" t="s">
        <v>22</v>
      </c>
      <c r="E42" s="3" t="s">
        <v>10</v>
      </c>
      <c r="F42" s="3">
        <v>0.97</v>
      </c>
      <c r="G42" s="7">
        <f t="shared" si="5"/>
        <v>-3.0459207484708574E-2</v>
      </c>
      <c r="H42" s="3">
        <v>0.75</v>
      </c>
      <c r="I42" s="7">
        <f t="shared" si="6"/>
        <v>-0.2876820724517809</v>
      </c>
      <c r="J42" s="3">
        <v>1.25</v>
      </c>
      <c r="K42" s="7">
        <f t="shared" si="7"/>
        <v>0.22314355131420976</v>
      </c>
      <c r="L42" s="7" t="str">
        <f t="shared" si="4"/>
        <v>0.97 (0.75, 1.25)</v>
      </c>
      <c r="M42" s="8">
        <v>0.69499999999999995</v>
      </c>
      <c r="N42" s="2">
        <v>5</v>
      </c>
      <c r="O42" s="9">
        <v>6</v>
      </c>
    </row>
    <row r="43" spans="1:15" x14ac:dyDescent="0.25">
      <c r="A43" s="1">
        <v>42</v>
      </c>
      <c r="B43" t="s">
        <v>19</v>
      </c>
      <c r="C43" s="3" t="s">
        <v>29</v>
      </c>
      <c r="D43" s="3" t="s">
        <v>22</v>
      </c>
      <c r="E43" s="3" t="s">
        <v>8</v>
      </c>
      <c r="F43" s="3">
        <v>1.1000000000000001</v>
      </c>
      <c r="G43" s="7">
        <f>LN(F43)</f>
        <v>9.5310179804324935E-2</v>
      </c>
      <c r="H43" s="3">
        <v>0.81</v>
      </c>
      <c r="I43" s="7">
        <f>LN(H43)</f>
        <v>-0.21072103131565253</v>
      </c>
      <c r="J43" s="3">
        <v>1.49</v>
      </c>
      <c r="K43" s="7">
        <f>LN(J43)</f>
        <v>0.39877611995736778</v>
      </c>
      <c r="L43" s="7" t="str">
        <f t="shared" si="4"/>
        <v>1.10 (0.81, 1.49)</v>
      </c>
      <c r="M43" s="8">
        <v>0.77500000000000002</v>
      </c>
      <c r="N43" s="2">
        <v>6</v>
      </c>
      <c r="O43" s="9">
        <v>8</v>
      </c>
    </row>
    <row r="44" spans="1:15" x14ac:dyDescent="0.25">
      <c r="A44" s="1">
        <v>43</v>
      </c>
      <c r="B44" t="s">
        <v>24</v>
      </c>
      <c r="C44" s="3" t="s">
        <v>23</v>
      </c>
      <c r="D44" s="3" t="s">
        <v>21</v>
      </c>
      <c r="E44" s="3" t="s">
        <v>9</v>
      </c>
      <c r="F44" s="7">
        <v>0.82</v>
      </c>
      <c r="G44" s="7">
        <f t="shared" si="5"/>
        <v>-0.19845093872383832</v>
      </c>
      <c r="H44" s="7">
        <v>0.68</v>
      </c>
      <c r="I44" s="7">
        <f t="shared" si="6"/>
        <v>-0.38566248081198462</v>
      </c>
      <c r="J44" s="7">
        <v>0.99</v>
      </c>
      <c r="K44" s="7">
        <f t="shared" si="7"/>
        <v>-1.0050335853501451E-2</v>
      </c>
      <c r="L44" s="7" t="str">
        <f t="shared" si="4"/>
        <v>0.82 (0.68, 0.99)</v>
      </c>
      <c r="M44" s="8">
        <v>0</v>
      </c>
      <c r="N44" s="1">
        <v>6</v>
      </c>
      <c r="O44" s="1">
        <v>14</v>
      </c>
    </row>
    <row r="45" spans="1:15" x14ac:dyDescent="0.25">
      <c r="A45" s="1">
        <v>44</v>
      </c>
      <c r="B45" t="s">
        <v>24</v>
      </c>
      <c r="C45" s="3" t="s">
        <v>23</v>
      </c>
      <c r="D45" s="3" t="s">
        <v>21</v>
      </c>
      <c r="E45" s="3" t="s">
        <v>10</v>
      </c>
      <c r="F45" s="7">
        <v>0.78</v>
      </c>
      <c r="G45" s="7">
        <f t="shared" si="5"/>
        <v>-0.24846135929849961</v>
      </c>
      <c r="H45" s="7">
        <v>0.56000000000000005</v>
      </c>
      <c r="I45" s="7">
        <f t="shared" si="6"/>
        <v>-0.57981849525294205</v>
      </c>
      <c r="J45" s="7">
        <v>1.08</v>
      </c>
      <c r="K45" s="7">
        <f t="shared" si="7"/>
        <v>7.6961041136128394E-2</v>
      </c>
      <c r="L45" s="7" t="str">
        <f t="shared" si="4"/>
        <v>0.78 (0.56, 1.08)</v>
      </c>
      <c r="M45" s="8">
        <v>0.49</v>
      </c>
      <c r="N45" s="1">
        <v>5</v>
      </c>
      <c r="O45" s="1">
        <v>14</v>
      </c>
    </row>
    <row r="46" spans="1:15" x14ac:dyDescent="0.25">
      <c r="A46" s="1">
        <v>45</v>
      </c>
      <c r="B46" t="s">
        <v>24</v>
      </c>
      <c r="C46" s="3" t="s">
        <v>23</v>
      </c>
      <c r="D46" s="3" t="s">
        <v>21</v>
      </c>
      <c r="E46" s="3" t="s">
        <v>8</v>
      </c>
      <c r="F46" s="3">
        <v>0.78</v>
      </c>
      <c r="G46" s="7">
        <f t="shared" si="5"/>
        <v>-0.24846135929849961</v>
      </c>
      <c r="H46" s="3">
        <v>0.64</v>
      </c>
      <c r="I46" s="7">
        <f t="shared" si="6"/>
        <v>-0.44628710262841947</v>
      </c>
      <c r="J46" s="3">
        <v>0.94</v>
      </c>
      <c r="K46" s="7">
        <f t="shared" si="7"/>
        <v>-6.1875403718087529E-2</v>
      </c>
      <c r="L46" s="7" t="str">
        <f t="shared" si="4"/>
        <v>0.78 (0.64, 0.94)</v>
      </c>
      <c r="M46" s="8">
        <v>8.5000000000000006E-2</v>
      </c>
      <c r="N46" s="1">
        <v>7</v>
      </c>
      <c r="O46" s="1">
        <v>17</v>
      </c>
    </row>
    <row r="47" spans="1:15" x14ac:dyDescent="0.25">
      <c r="A47" s="1">
        <v>46</v>
      </c>
      <c r="B47" t="s">
        <v>24</v>
      </c>
      <c r="C47" s="3" t="s">
        <v>23</v>
      </c>
      <c r="D47" s="3" t="s">
        <v>22</v>
      </c>
      <c r="E47" s="3" t="s">
        <v>9</v>
      </c>
      <c r="F47" s="7">
        <v>0.72</v>
      </c>
      <c r="G47" s="7">
        <f>LN(F47)</f>
        <v>-0.3285040669720361</v>
      </c>
      <c r="H47" s="7">
        <v>0.38</v>
      </c>
      <c r="I47" s="7">
        <f>LN(H47)</f>
        <v>-0.96758402626170559</v>
      </c>
      <c r="J47" s="7">
        <v>1.4</v>
      </c>
      <c r="K47" s="7">
        <f>LN(J47)</f>
        <v>0.33647223662121289</v>
      </c>
      <c r="L47" s="7" t="str">
        <f t="shared" si="4"/>
        <v>0.72 (0.38, 1.40)</v>
      </c>
      <c r="M47" s="8">
        <v>0</v>
      </c>
      <c r="N47" s="1">
        <v>3</v>
      </c>
      <c r="O47" s="9">
        <v>4</v>
      </c>
    </row>
    <row r="48" spans="1:15" x14ac:dyDescent="0.25">
      <c r="A48" s="1">
        <v>47</v>
      </c>
      <c r="B48" t="s">
        <v>24</v>
      </c>
      <c r="C48" s="3" t="s">
        <v>23</v>
      </c>
      <c r="D48" s="3" t="s">
        <v>22</v>
      </c>
      <c r="E48" s="3" t="s">
        <v>8</v>
      </c>
      <c r="F48" s="3">
        <v>0.71</v>
      </c>
      <c r="G48" s="7">
        <f>LN(F48)</f>
        <v>-0.34249030894677601</v>
      </c>
      <c r="H48" s="3">
        <v>0.35</v>
      </c>
      <c r="I48" s="7">
        <f>LN(H48)</f>
        <v>-1.0498221244986778</v>
      </c>
      <c r="J48" s="3">
        <v>1.45</v>
      </c>
      <c r="K48" s="7">
        <f>LN(J48)</f>
        <v>0.37156355643248301</v>
      </c>
      <c r="L48" s="7" t="str">
        <f t="shared" si="4"/>
        <v>0.71 (0.35, 1.45)</v>
      </c>
      <c r="M48" s="8">
        <v>0</v>
      </c>
      <c r="N48" s="1">
        <v>3</v>
      </c>
      <c r="O48" s="1">
        <v>4</v>
      </c>
    </row>
    <row r="49" spans="1:15" x14ac:dyDescent="0.25">
      <c r="A49" s="1">
        <v>48</v>
      </c>
      <c r="B49" t="s">
        <v>24</v>
      </c>
      <c r="C49" s="3" t="s">
        <v>6</v>
      </c>
      <c r="D49" s="3" t="s">
        <v>21</v>
      </c>
      <c r="E49" s="3" t="s">
        <v>8</v>
      </c>
      <c r="F49" s="3">
        <v>0.83</v>
      </c>
      <c r="G49" s="7">
        <f>LN(F49)</f>
        <v>-0.18632957819149348</v>
      </c>
      <c r="H49" s="3">
        <v>0.66</v>
      </c>
      <c r="I49" s="7">
        <f>LN(H49)</f>
        <v>-0.41551544396166579</v>
      </c>
      <c r="J49" s="3">
        <v>1.05</v>
      </c>
      <c r="K49" s="7">
        <f>LN(J49)</f>
        <v>4.8790164169432049E-2</v>
      </c>
      <c r="L49" s="7" t="str">
        <f t="shared" si="4"/>
        <v>0.83 (0.66, 1.05)</v>
      </c>
      <c r="M49" s="8">
        <v>0</v>
      </c>
      <c r="N49" s="1">
        <v>3</v>
      </c>
      <c r="O49" s="1">
        <v>3</v>
      </c>
    </row>
    <row r="50" spans="1:15" x14ac:dyDescent="0.25">
      <c r="A50" s="1">
        <v>49</v>
      </c>
      <c r="B50" t="s">
        <v>24</v>
      </c>
      <c r="C50" s="3" t="s">
        <v>29</v>
      </c>
      <c r="D50" s="3" t="s">
        <v>21</v>
      </c>
      <c r="E50" s="3" t="s">
        <v>9</v>
      </c>
      <c r="F50" s="3">
        <v>0.72</v>
      </c>
      <c r="G50" s="7">
        <f t="shared" si="5"/>
        <v>-0.3285040669720361</v>
      </c>
      <c r="H50" s="3">
        <v>0.57999999999999996</v>
      </c>
      <c r="I50" s="7">
        <f t="shared" si="6"/>
        <v>-0.54472717544167215</v>
      </c>
      <c r="J50" s="3">
        <v>0.91</v>
      </c>
      <c r="K50" s="7">
        <f t="shared" si="7"/>
        <v>-9.431067947124129E-2</v>
      </c>
      <c r="L50" s="7" t="str">
        <f t="shared" si="4"/>
        <v>0.72 (0.58, 0.91)</v>
      </c>
      <c r="M50" s="8">
        <v>0</v>
      </c>
      <c r="N50" s="1">
        <v>5</v>
      </c>
      <c r="O50" s="1">
        <v>10</v>
      </c>
    </row>
    <row r="51" spans="1:15" x14ac:dyDescent="0.25">
      <c r="A51" s="1">
        <v>50</v>
      </c>
      <c r="B51" t="s">
        <v>24</v>
      </c>
      <c r="C51" s="3" t="s">
        <v>29</v>
      </c>
      <c r="D51" s="3" t="s">
        <v>21</v>
      </c>
      <c r="E51" s="3" t="s">
        <v>10</v>
      </c>
      <c r="F51" s="3">
        <v>0.66</v>
      </c>
      <c r="G51" s="7">
        <f t="shared" si="5"/>
        <v>-0.41551544396166579</v>
      </c>
      <c r="H51" s="3">
        <v>0.46</v>
      </c>
      <c r="I51" s="7">
        <f t="shared" si="6"/>
        <v>-0.77652878949899629</v>
      </c>
      <c r="J51" s="3">
        <v>0.96</v>
      </c>
      <c r="K51" s="7">
        <f t="shared" si="7"/>
        <v>-4.0821994520255166E-2</v>
      </c>
      <c r="L51" s="7" t="str">
        <f t="shared" si="4"/>
        <v>0.66 (0.46, 0.96)</v>
      </c>
      <c r="M51" s="8">
        <v>0.50600000000000001</v>
      </c>
      <c r="N51" s="1">
        <v>4</v>
      </c>
      <c r="O51" s="1">
        <v>9</v>
      </c>
    </row>
    <row r="52" spans="1:15" x14ac:dyDescent="0.25">
      <c r="A52" s="1">
        <v>51</v>
      </c>
      <c r="B52" t="s">
        <v>24</v>
      </c>
      <c r="C52" s="3" t="s">
        <v>29</v>
      </c>
      <c r="D52" s="3" t="s">
        <v>21</v>
      </c>
      <c r="E52" s="3" t="s">
        <v>8</v>
      </c>
      <c r="F52" s="3">
        <v>0.68</v>
      </c>
      <c r="G52" s="7">
        <f t="shared" si="5"/>
        <v>-0.38566248081198462</v>
      </c>
      <c r="H52" s="3">
        <v>0.54</v>
      </c>
      <c r="I52" s="7">
        <f t="shared" si="6"/>
        <v>-0.61618613942381695</v>
      </c>
      <c r="J52" s="3">
        <v>0.87</v>
      </c>
      <c r="K52" s="7">
        <f t="shared" si="7"/>
        <v>-0.13926206733350766</v>
      </c>
      <c r="L52" s="7" t="str">
        <f t="shared" si="4"/>
        <v>0.68 (0.54, 0.87)</v>
      </c>
      <c r="M52" s="8">
        <v>0</v>
      </c>
      <c r="N52" s="1">
        <v>7</v>
      </c>
      <c r="O52" s="1">
        <v>17</v>
      </c>
    </row>
    <row r="53" spans="1:15" x14ac:dyDescent="0.25">
      <c r="A53" s="1">
        <v>52</v>
      </c>
      <c r="B53" t="s">
        <v>25</v>
      </c>
      <c r="C53" s="3" t="s">
        <v>23</v>
      </c>
      <c r="D53" s="3" t="s">
        <v>21</v>
      </c>
      <c r="E53" s="3" t="s">
        <v>9</v>
      </c>
      <c r="F53" s="3">
        <v>0.63</v>
      </c>
      <c r="G53" s="3">
        <f t="shared" si="5"/>
        <v>-0.46203545959655867</v>
      </c>
      <c r="H53" s="3">
        <v>0.33</v>
      </c>
      <c r="I53" s="3">
        <f t="shared" si="6"/>
        <v>-1.1086626245216111</v>
      </c>
      <c r="J53" s="3">
        <v>1.24</v>
      </c>
      <c r="K53" s="7">
        <f t="shared" si="7"/>
        <v>0.21511137961694549</v>
      </c>
      <c r="L53" s="9" t="str">
        <f t="shared" si="4"/>
        <v>0.63 (0.33, 1.24)</v>
      </c>
      <c r="M53" s="8">
        <v>0.70599999999999996</v>
      </c>
      <c r="N53" s="1">
        <v>4</v>
      </c>
      <c r="O53" s="1">
        <v>15</v>
      </c>
    </row>
    <row r="54" spans="1:15" x14ac:dyDescent="0.25">
      <c r="A54" s="1">
        <v>53</v>
      </c>
      <c r="B54" t="s">
        <v>25</v>
      </c>
      <c r="C54" s="3" t="s">
        <v>23</v>
      </c>
      <c r="D54" s="3" t="s">
        <v>21</v>
      </c>
      <c r="E54" s="3" t="s">
        <v>10</v>
      </c>
      <c r="F54" s="3">
        <v>0.65</v>
      </c>
      <c r="G54" s="3">
        <f t="shared" si="5"/>
        <v>-0.43078291609245423</v>
      </c>
      <c r="H54" s="3">
        <v>0.28000000000000003</v>
      </c>
      <c r="I54" s="3">
        <f t="shared" si="6"/>
        <v>-1.2729656758128873</v>
      </c>
      <c r="J54" s="3">
        <v>1.49</v>
      </c>
      <c r="K54" s="7">
        <f t="shared" si="7"/>
        <v>0.39877611995736778</v>
      </c>
      <c r="L54" s="9" t="str">
        <f t="shared" si="4"/>
        <v>0.65 (0.28, 1.49)</v>
      </c>
      <c r="M54" s="8">
        <v>0.69799999999999995</v>
      </c>
      <c r="N54" s="1">
        <v>3</v>
      </c>
      <c r="O54" s="1">
        <v>14</v>
      </c>
    </row>
    <row r="55" spans="1:15" x14ac:dyDescent="0.25">
      <c r="A55" s="1">
        <v>54</v>
      </c>
      <c r="B55" t="s">
        <v>25</v>
      </c>
      <c r="C55" s="3" t="s">
        <v>23</v>
      </c>
      <c r="D55" s="3" t="s">
        <v>21</v>
      </c>
      <c r="E55" s="3" t="s">
        <v>8</v>
      </c>
      <c r="F55" s="3">
        <v>0.65</v>
      </c>
      <c r="G55" s="3">
        <f t="shared" si="5"/>
        <v>-0.43078291609245423</v>
      </c>
      <c r="H55" s="3">
        <v>0.33</v>
      </c>
      <c r="I55" s="3">
        <f t="shared" si="6"/>
        <v>-1.1086626245216111</v>
      </c>
      <c r="J55" s="3">
        <v>1.29</v>
      </c>
      <c r="K55" s="7">
        <f t="shared" si="7"/>
        <v>0.25464221837358075</v>
      </c>
      <c r="L55" s="9" t="str">
        <f t="shared" si="4"/>
        <v>0.65 (0.33, 1.29)</v>
      </c>
      <c r="M55" s="8">
        <v>0.67500000000000004</v>
      </c>
      <c r="N55" s="1">
        <v>4</v>
      </c>
      <c r="O55" s="1">
        <v>15</v>
      </c>
    </row>
    <row r="56" spans="1:15" x14ac:dyDescent="0.25">
      <c r="A56" s="1">
        <v>55</v>
      </c>
      <c r="B56" t="s">
        <v>25</v>
      </c>
      <c r="C56" s="3" t="s">
        <v>29</v>
      </c>
      <c r="D56" s="3" t="s">
        <v>21</v>
      </c>
      <c r="E56" s="3" t="s">
        <v>9</v>
      </c>
      <c r="F56" s="3">
        <v>0.5</v>
      </c>
      <c r="G56" s="3">
        <f t="shared" si="5"/>
        <v>-0.69314718055994529</v>
      </c>
      <c r="H56" s="3">
        <v>0.33</v>
      </c>
      <c r="I56" s="3">
        <f t="shared" si="6"/>
        <v>-1.1086626245216111</v>
      </c>
      <c r="J56" s="3">
        <v>0.76</v>
      </c>
      <c r="K56" s="7">
        <f t="shared" si="7"/>
        <v>-0.2744368457017603</v>
      </c>
      <c r="L56" s="9" t="str">
        <f t="shared" si="4"/>
        <v>0.50 (0.33, 0.76)</v>
      </c>
      <c r="M56" s="8">
        <v>0.74199999999999999</v>
      </c>
      <c r="N56" s="1">
        <v>4</v>
      </c>
      <c r="O56" s="1">
        <v>11</v>
      </c>
    </row>
    <row r="57" spans="1:15" x14ac:dyDescent="0.25">
      <c r="A57" s="1">
        <v>56</v>
      </c>
      <c r="B57" t="s">
        <v>25</v>
      </c>
      <c r="C57" s="3" t="s">
        <v>29</v>
      </c>
      <c r="D57" s="3" t="s">
        <v>21</v>
      </c>
      <c r="E57" s="3" t="s">
        <v>10</v>
      </c>
      <c r="F57" s="3">
        <v>0.48</v>
      </c>
      <c r="G57" s="3">
        <f>LN(F57)</f>
        <v>-0.73396917508020043</v>
      </c>
      <c r="H57" s="3">
        <v>0.3</v>
      </c>
      <c r="I57" s="3">
        <f>LN(H57)</f>
        <v>-1.2039728043259361</v>
      </c>
      <c r="J57" s="3">
        <v>0.77</v>
      </c>
      <c r="K57" s="7">
        <f>LN(J57)</f>
        <v>-0.26136476413440751</v>
      </c>
      <c r="L57" s="9" t="str">
        <f t="shared" si="4"/>
        <v>0.48 (0.30, 0.77)</v>
      </c>
      <c r="M57" s="8">
        <v>0.72499999999999998</v>
      </c>
      <c r="N57" s="1">
        <v>3</v>
      </c>
      <c r="O57" s="1">
        <v>10</v>
      </c>
    </row>
    <row r="58" spans="1:15" x14ac:dyDescent="0.25">
      <c r="A58" s="1">
        <v>57</v>
      </c>
      <c r="B58" t="s">
        <v>25</v>
      </c>
      <c r="C58" s="3" t="s">
        <v>29</v>
      </c>
      <c r="D58" s="3" t="s">
        <v>21</v>
      </c>
      <c r="E58" s="3" t="s">
        <v>8</v>
      </c>
      <c r="F58" s="3">
        <v>0.49</v>
      </c>
      <c r="G58" s="3">
        <f>LN(F58)</f>
        <v>-0.71334988787746478</v>
      </c>
      <c r="H58" s="3">
        <v>0.31</v>
      </c>
      <c r="I58" s="3">
        <f>LN(H58)</f>
        <v>-1.1711829815029451</v>
      </c>
      <c r="J58" s="3">
        <v>0.77</v>
      </c>
      <c r="K58" s="7">
        <f>LN(J58)</f>
        <v>-0.26136476413440751</v>
      </c>
      <c r="L58" s="9" t="str">
        <f t="shared" si="4"/>
        <v>0.49 (0.31, 0.77)</v>
      </c>
      <c r="M58" s="8">
        <v>0.69399999999999995</v>
      </c>
      <c r="N58" s="1">
        <v>4</v>
      </c>
      <c r="O58" s="1">
        <v>10</v>
      </c>
    </row>
    <row r="59" spans="1:15" x14ac:dyDescent="0.25">
      <c r="A59" s="1">
        <v>58</v>
      </c>
      <c r="B59" t="s">
        <v>26</v>
      </c>
      <c r="C59" s="3" t="s">
        <v>23</v>
      </c>
      <c r="D59" s="3" t="s">
        <v>21</v>
      </c>
      <c r="E59" s="3" t="s">
        <v>9</v>
      </c>
      <c r="F59" s="7">
        <v>0.9</v>
      </c>
      <c r="G59" s="7">
        <f t="shared" si="5"/>
        <v>-0.10536051565782628</v>
      </c>
      <c r="H59" s="7">
        <v>0.69</v>
      </c>
      <c r="I59" s="7">
        <f t="shared" si="6"/>
        <v>-0.37106368139083207</v>
      </c>
      <c r="J59" s="7">
        <v>1.19</v>
      </c>
      <c r="K59" s="7">
        <f t="shared" si="7"/>
        <v>0.17395330712343798</v>
      </c>
      <c r="L59" s="7" t="str">
        <f t="shared" si="4"/>
        <v>0.90 (0.69, 1.19)</v>
      </c>
      <c r="M59" s="8">
        <v>0.252</v>
      </c>
      <c r="N59" s="1">
        <v>6</v>
      </c>
      <c r="O59" s="1">
        <v>8</v>
      </c>
    </row>
    <row r="60" spans="1:15" x14ac:dyDescent="0.25">
      <c r="A60" s="1">
        <v>59</v>
      </c>
      <c r="B60" t="s">
        <v>26</v>
      </c>
      <c r="C60" s="3" t="s">
        <v>23</v>
      </c>
      <c r="D60" s="3" t="s">
        <v>21</v>
      </c>
      <c r="E60" s="3" t="s">
        <v>10</v>
      </c>
      <c r="F60" s="3">
        <v>1.26</v>
      </c>
      <c r="G60" s="7">
        <f>LN(F60)</f>
        <v>0.23111172096338664</v>
      </c>
      <c r="H60" s="3">
        <v>0.67</v>
      </c>
      <c r="I60" s="7">
        <f>LN(H60)</f>
        <v>-0.40047756659712525</v>
      </c>
      <c r="J60" s="3">
        <v>2.35</v>
      </c>
      <c r="K60" s="7">
        <f>LN(J60)</f>
        <v>0.85441532815606758</v>
      </c>
      <c r="L60" s="7" t="str">
        <f t="shared" si="4"/>
        <v>1.26 (0.67, 2.35)</v>
      </c>
      <c r="M60" s="8">
        <v>0.28999999999999998</v>
      </c>
      <c r="N60" s="1">
        <v>3</v>
      </c>
      <c r="O60" s="1">
        <v>5</v>
      </c>
    </row>
    <row r="61" spans="1:15" x14ac:dyDescent="0.25">
      <c r="A61" s="1">
        <v>60</v>
      </c>
      <c r="B61" t="s">
        <v>26</v>
      </c>
      <c r="C61" s="3" t="s">
        <v>23</v>
      </c>
      <c r="D61" s="3" t="s">
        <v>21</v>
      </c>
      <c r="E61" s="3" t="s">
        <v>8</v>
      </c>
      <c r="F61" s="3">
        <v>0.88</v>
      </c>
      <c r="G61" s="7">
        <f>LN(F61)</f>
        <v>-0.12783337150988489</v>
      </c>
      <c r="H61" s="3">
        <v>0.67</v>
      </c>
      <c r="I61" s="7">
        <f>LN(H61)</f>
        <v>-0.40047756659712525</v>
      </c>
      <c r="J61" s="3">
        <v>1.17</v>
      </c>
      <c r="K61" s="7">
        <f>LN(J61)</f>
        <v>0.15700374880966469</v>
      </c>
      <c r="L61" s="7" t="str">
        <f t="shared" si="4"/>
        <v>0.88 (0.67, 1.17)</v>
      </c>
      <c r="M61" s="8">
        <v>0.124</v>
      </c>
      <c r="N61" s="1">
        <v>6</v>
      </c>
      <c r="O61" s="1">
        <v>8</v>
      </c>
    </row>
    <row r="62" spans="1:15" x14ac:dyDescent="0.25">
      <c r="A62" s="1">
        <v>61</v>
      </c>
      <c r="B62" t="s">
        <v>26</v>
      </c>
      <c r="C62" s="3" t="s">
        <v>29</v>
      </c>
      <c r="D62" s="3" t="s">
        <v>21</v>
      </c>
      <c r="E62" s="3" t="s">
        <v>9</v>
      </c>
      <c r="F62" s="3">
        <v>1.18</v>
      </c>
      <c r="G62" s="7">
        <f t="shared" si="5"/>
        <v>0.16551443847757333</v>
      </c>
      <c r="H62" s="3">
        <v>0.51</v>
      </c>
      <c r="I62" s="7">
        <f t="shared" si="6"/>
        <v>-0.67334455326376563</v>
      </c>
      <c r="J62" s="3">
        <v>2.72</v>
      </c>
      <c r="K62" s="7">
        <f t="shared" si="7"/>
        <v>1.000631880307906</v>
      </c>
      <c r="L62" s="7" t="str">
        <f t="shared" si="4"/>
        <v>1.18 (0.51, 2.72)</v>
      </c>
      <c r="M62" s="8">
        <v>0.66900000000000004</v>
      </c>
      <c r="N62" s="1">
        <v>4</v>
      </c>
      <c r="O62" s="1">
        <v>4</v>
      </c>
    </row>
    <row r="63" spans="1:15" x14ac:dyDescent="0.25">
      <c r="A63" s="1">
        <v>62</v>
      </c>
      <c r="B63" t="s">
        <v>26</v>
      </c>
      <c r="C63" s="3" t="s">
        <v>29</v>
      </c>
      <c r="D63" s="3" t="s">
        <v>21</v>
      </c>
      <c r="E63" s="3" t="s">
        <v>10</v>
      </c>
      <c r="F63" s="3">
        <v>1.57</v>
      </c>
      <c r="G63" s="7">
        <f>LN(F63)</f>
        <v>0.45107561936021673</v>
      </c>
      <c r="H63" s="3">
        <v>0.67</v>
      </c>
      <c r="I63" s="7">
        <f>LN(H63)</f>
        <v>-0.40047756659712525</v>
      </c>
      <c r="J63" s="3">
        <v>3.66</v>
      </c>
      <c r="K63" s="7">
        <f>LN(J63)</f>
        <v>1.297463147413275</v>
      </c>
      <c r="L63" s="7" t="str">
        <f t="shared" si="4"/>
        <v>1.57 (0.67, 3.66)</v>
      </c>
      <c r="M63" s="8">
        <v>0.61499999999999999</v>
      </c>
      <c r="N63" s="1">
        <v>3</v>
      </c>
      <c r="O63" s="1">
        <v>3</v>
      </c>
    </row>
    <row r="64" spans="1:15" x14ac:dyDescent="0.25">
      <c r="A64" s="1">
        <v>63</v>
      </c>
      <c r="B64" t="s">
        <v>26</v>
      </c>
      <c r="C64" s="3" t="s">
        <v>29</v>
      </c>
      <c r="D64" s="3" t="s">
        <v>21</v>
      </c>
      <c r="E64" s="3" t="s">
        <v>8</v>
      </c>
      <c r="F64" s="3">
        <v>1.1499999999999999</v>
      </c>
      <c r="G64" s="7">
        <f>LN(F64)</f>
        <v>0.13976194237515863</v>
      </c>
      <c r="H64" s="3">
        <v>0.51</v>
      </c>
      <c r="I64" s="7">
        <f>LN(H64)</f>
        <v>-0.67334455326376563</v>
      </c>
      <c r="J64" s="3">
        <v>2.58</v>
      </c>
      <c r="K64" s="7">
        <f>LN(J64)</f>
        <v>0.94778939893352609</v>
      </c>
      <c r="L64" s="7" t="str">
        <f t="shared" si="4"/>
        <v>1.15 (0.51, 2.58)</v>
      </c>
      <c r="M64" s="8">
        <v>0.61299999999999999</v>
      </c>
      <c r="N64" s="1">
        <v>4</v>
      </c>
      <c r="O64" s="1">
        <v>4</v>
      </c>
    </row>
    <row r="65" spans="1:15" x14ac:dyDescent="0.25">
      <c r="A65" s="1">
        <v>64</v>
      </c>
      <c r="B65" t="s">
        <v>26</v>
      </c>
      <c r="C65" s="3" t="s">
        <v>23</v>
      </c>
      <c r="D65" s="3" t="s">
        <v>22</v>
      </c>
      <c r="E65" s="3" t="s">
        <v>9</v>
      </c>
      <c r="F65" s="7">
        <v>0.67</v>
      </c>
      <c r="G65" s="7">
        <f t="shared" si="5"/>
        <v>-0.40047756659712525</v>
      </c>
      <c r="H65" s="7">
        <v>0.51</v>
      </c>
      <c r="I65" s="7">
        <f t="shared" si="6"/>
        <v>-0.67334455326376563</v>
      </c>
      <c r="J65" s="7">
        <v>0.88</v>
      </c>
      <c r="K65" s="7">
        <f t="shared" si="7"/>
        <v>-0.12783337150988489</v>
      </c>
      <c r="L65" s="7" t="str">
        <f t="shared" si="4"/>
        <v>0.67 (0.51, 0.88)</v>
      </c>
      <c r="M65" s="8">
        <v>0.114</v>
      </c>
      <c r="N65" s="1">
        <v>4</v>
      </c>
      <c r="O65" s="9">
        <v>5</v>
      </c>
    </row>
    <row r="66" spans="1:15" x14ac:dyDescent="0.25">
      <c r="A66" s="1">
        <v>65</v>
      </c>
      <c r="B66" t="s">
        <v>26</v>
      </c>
      <c r="C66" s="3" t="s">
        <v>23</v>
      </c>
      <c r="D66" s="3" t="s">
        <v>22</v>
      </c>
      <c r="E66" s="3" t="s">
        <v>10</v>
      </c>
      <c r="F66" s="3">
        <v>0.89</v>
      </c>
      <c r="G66" s="7">
        <f t="shared" si="5"/>
        <v>-0.11653381625595151</v>
      </c>
      <c r="H66" s="3">
        <v>0.81</v>
      </c>
      <c r="I66" s="7">
        <f t="shared" si="6"/>
        <v>-0.21072103131565253</v>
      </c>
      <c r="J66" s="3">
        <v>0.98</v>
      </c>
      <c r="K66" s="7">
        <f t="shared" si="7"/>
        <v>-2.0202707317519466E-2</v>
      </c>
      <c r="L66" s="7" t="str">
        <f t="shared" si="4"/>
        <v>0.89 (0.81, 0.98)</v>
      </c>
      <c r="M66" s="8">
        <v>0.372</v>
      </c>
      <c r="N66" s="1">
        <v>3</v>
      </c>
      <c r="O66" s="1">
        <v>4</v>
      </c>
    </row>
    <row r="67" spans="1:15" x14ac:dyDescent="0.25">
      <c r="A67" s="1">
        <v>66</v>
      </c>
      <c r="B67" t="s">
        <v>26</v>
      </c>
      <c r="C67" s="3" t="s">
        <v>23</v>
      </c>
      <c r="D67" s="3" t="s">
        <v>22</v>
      </c>
      <c r="E67" s="3" t="s">
        <v>8</v>
      </c>
      <c r="F67" s="3">
        <v>0.88</v>
      </c>
      <c r="G67" s="7">
        <f t="shared" si="5"/>
        <v>-0.12783337150988489</v>
      </c>
      <c r="H67" s="3">
        <v>0.79</v>
      </c>
      <c r="I67" s="7">
        <f t="shared" si="6"/>
        <v>-0.23572233352106983</v>
      </c>
      <c r="J67" s="3">
        <v>0.98</v>
      </c>
      <c r="K67" s="7">
        <f t="shared" si="7"/>
        <v>-2.0202707317519466E-2</v>
      </c>
      <c r="L67" s="7" t="str">
        <f t="shared" si="4"/>
        <v>0.88 (0.79, 0.98)</v>
      </c>
      <c r="M67" s="8">
        <v>0.20300000000000001</v>
      </c>
      <c r="N67" s="1">
        <v>5</v>
      </c>
      <c r="O67" s="1">
        <v>6</v>
      </c>
    </row>
    <row r="68" spans="1:15" x14ac:dyDescent="0.25">
      <c r="A68" s="1"/>
      <c r="B68" t="s">
        <v>26</v>
      </c>
      <c r="C68" s="3" t="s">
        <v>7</v>
      </c>
      <c r="D68" s="3" t="s">
        <v>22</v>
      </c>
      <c r="E68" s="3" t="s">
        <v>9</v>
      </c>
      <c r="F68" s="3">
        <v>0.67</v>
      </c>
      <c r="G68" s="7">
        <f>LN(F68)</f>
        <v>-0.40047756659712525</v>
      </c>
      <c r="H68" s="3">
        <v>0.54</v>
      </c>
      <c r="I68" s="7">
        <f>LN(H68)</f>
        <v>-0.61618613942381695</v>
      </c>
      <c r="J68" s="3">
        <v>0.84</v>
      </c>
      <c r="K68" s="7">
        <f>LN(J68)</f>
        <v>-0.1743533871447778</v>
      </c>
      <c r="L68" s="7" t="str">
        <f t="shared" si="4"/>
        <v>0.67 (0.54, 0.84)</v>
      </c>
      <c r="M68" s="8">
        <v>0.114</v>
      </c>
      <c r="N68" s="1">
        <v>4</v>
      </c>
      <c r="O68" s="1">
        <v>5</v>
      </c>
    </row>
    <row r="69" spans="1:15" x14ac:dyDescent="0.25">
      <c r="A69" s="1">
        <v>67</v>
      </c>
      <c r="B69" t="s">
        <v>26</v>
      </c>
      <c r="C69" s="3" t="s">
        <v>7</v>
      </c>
      <c r="D69" s="3" t="s">
        <v>22</v>
      </c>
      <c r="E69" s="3" t="s">
        <v>8</v>
      </c>
      <c r="F69" s="3">
        <v>0.72</v>
      </c>
      <c r="G69" s="7">
        <f t="shared" si="5"/>
        <v>-0.3285040669720361</v>
      </c>
      <c r="H69" s="3">
        <v>0.49</v>
      </c>
      <c r="I69" s="7">
        <f t="shared" si="6"/>
        <v>-0.71334988787746478</v>
      </c>
      <c r="J69" s="3">
        <v>1.06</v>
      </c>
      <c r="K69" s="7">
        <f t="shared" si="7"/>
        <v>5.8268908123975824E-2</v>
      </c>
      <c r="L69" s="7" t="str">
        <f t="shared" si="4"/>
        <v>0.72 (0.49, 1.06)</v>
      </c>
      <c r="M69" s="8">
        <v>0.46100000000000002</v>
      </c>
      <c r="N69" s="1">
        <v>3</v>
      </c>
      <c r="O69" s="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Dawe</dc:creator>
  <cp:lastModifiedBy>Joshua Dawe</cp:lastModifiedBy>
  <dcterms:created xsi:type="dcterms:W3CDTF">2024-06-05T15:23:39Z</dcterms:created>
  <dcterms:modified xsi:type="dcterms:W3CDTF">2026-09-21T08:03:55Z</dcterms:modified>
</cp:coreProperties>
</file>