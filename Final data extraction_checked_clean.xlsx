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ob-my.sharepoint.com/personal/vl22683_bristol_ac_uk/Documents/Documents/Misc/UNAIDS/FSW/Analysis/Analysis/Structural-Barriers-FSW-Review/"/>
    </mc:Choice>
  </mc:AlternateContent>
  <xr:revisionPtr revIDLastSave="26" documentId="8_{57F6CB69-E802-48CB-BC8C-AE55230DF050}" xr6:coauthVersionLast="47" xr6:coauthVersionMax="47" xr10:uidLastSave="{523FB71C-E628-4885-92CD-0A0C94E5102D}"/>
  <bookViews>
    <workbookView minimized="1" xWindow="-25230" yWindow="3000" windowWidth="21600" windowHeight="11295" activeTab="1" xr2:uid="{B15207E7-DAAE-40B8-981F-8519D2716002}"/>
  </bookViews>
  <sheets>
    <sheet name="Calculations" sheetId="5" r:id="rId1"/>
    <sheet name="Final data extraction" sheetId="2" r:id="rId2"/>
    <sheet name="Updated search" sheetId="8" r:id="rId3"/>
    <sheet name="Risk of bias"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6" i="2" l="1"/>
  <c r="BD94" i="2"/>
  <c r="BC94" i="2"/>
  <c r="BB94" i="2"/>
  <c r="AU94" i="2"/>
  <c r="AT94" i="2"/>
  <c r="AS94" i="2"/>
  <c r="Y94" i="2"/>
  <c r="BD93" i="2"/>
  <c r="BC93" i="2"/>
  <c r="BB93" i="2"/>
  <c r="AU93" i="2"/>
  <c r="AT93" i="2"/>
  <c r="AS93" i="2"/>
  <c r="Y93" i="2"/>
  <c r="BC3" i="8"/>
  <c r="BB3" i="8"/>
  <c r="BA3" i="8"/>
  <c r="BC2" i="8"/>
  <c r="BB2" i="8"/>
  <c r="BA2" i="8"/>
  <c r="AT3" i="8"/>
  <c r="AT2" i="8"/>
  <c r="AS3" i="8"/>
  <c r="AS2" i="8"/>
  <c r="AR3" i="8"/>
  <c r="AR2" i="8"/>
  <c r="E829" i="5"/>
  <c r="D828" i="5"/>
  <c r="D829" i="5"/>
  <c r="D827" i="5"/>
  <c r="C828" i="5"/>
  <c r="B828" i="5"/>
  <c r="X7" i="8"/>
  <c r="D820" i="5"/>
  <c r="E821" i="5"/>
  <c r="B821" i="5"/>
  <c r="D816" i="5"/>
  <c r="E811" i="5"/>
  <c r="D811" i="5"/>
  <c r="D812" i="5"/>
  <c r="C815" i="5"/>
  <c r="D815" i="5"/>
  <c r="E816" i="5"/>
  <c r="B816" i="5"/>
  <c r="E810" i="5"/>
  <c r="E812" i="5"/>
  <c r="C812" i="5"/>
  <c r="C811" i="5"/>
  <c r="C810" i="5"/>
  <c r="B811" i="5"/>
  <c r="D810" i="5"/>
  <c r="G797" i="5"/>
  <c r="G799" i="5" s="1"/>
  <c r="G800" i="5" s="1"/>
  <c r="G798" i="5"/>
  <c r="X3" i="8"/>
  <c r="F756" i="5"/>
  <c r="C756" i="5"/>
  <c r="D756" i="5"/>
  <c r="E756" i="5"/>
  <c r="B756" i="5"/>
  <c r="F753" i="5"/>
  <c r="F754" i="5"/>
  <c r="F755" i="5"/>
  <c r="F752" i="5"/>
  <c r="C788" i="5"/>
  <c r="D788" i="5"/>
  <c r="E788" i="5"/>
  <c r="F788" i="5"/>
  <c r="G788" i="5"/>
  <c r="H788" i="5"/>
  <c r="I788" i="5"/>
  <c r="B788" i="5"/>
  <c r="I776" i="5"/>
  <c r="H776" i="5"/>
  <c r="G776" i="5"/>
  <c r="F776" i="5"/>
  <c r="E776" i="5"/>
  <c r="D776" i="5"/>
  <c r="C776" i="5"/>
  <c r="B776" i="5"/>
  <c r="B798" i="5"/>
  <c r="B797" i="5"/>
  <c r="X2" i="8"/>
  <c r="C764" i="5"/>
  <c r="D764" i="5"/>
  <c r="E764" i="5"/>
  <c r="F764" i="5"/>
  <c r="G764" i="5"/>
  <c r="H764" i="5"/>
  <c r="I764" i="5"/>
  <c r="B764" i="5"/>
  <c r="P9" i="7"/>
  <c r="P10" i="7"/>
  <c r="P42" i="7"/>
  <c r="P60" i="7"/>
  <c r="P58" i="7"/>
  <c r="P89" i="7"/>
  <c r="P26" i="7"/>
  <c r="P40" i="7"/>
  <c r="P39" i="7"/>
  <c r="P104" i="7"/>
  <c r="P108" i="7"/>
  <c r="P112" i="7"/>
  <c r="P146" i="7"/>
  <c r="P207" i="7"/>
  <c r="P84" i="7"/>
  <c r="P80" i="7"/>
  <c r="P82" i="7"/>
  <c r="P56" i="7"/>
  <c r="P59" i="7"/>
  <c r="P29" i="7"/>
  <c r="P5" i="7"/>
  <c r="P6" i="7"/>
  <c r="P8" i="7"/>
  <c r="P24" i="7"/>
  <c r="P30" i="7"/>
  <c r="P31" i="7"/>
  <c r="P33" i="7"/>
  <c r="P34" i="7"/>
  <c r="P35" i="7"/>
  <c r="P36" i="7"/>
  <c r="P37" i="7"/>
  <c r="P38" i="7"/>
  <c r="P41" i="7"/>
  <c r="P49" i="7"/>
  <c r="P54" i="7"/>
  <c r="P71" i="7"/>
  <c r="P73" i="7"/>
  <c r="P77" i="7"/>
  <c r="P78" i="7"/>
  <c r="P79" i="7"/>
  <c r="P90" i="7"/>
  <c r="P100" i="7"/>
  <c r="P98" i="7"/>
  <c r="P103" i="7"/>
  <c r="P102" i="7"/>
  <c r="P141" i="7"/>
  <c r="P140" i="7"/>
  <c r="P142" i="7"/>
  <c r="P143" i="7"/>
  <c r="P144" i="7"/>
  <c r="P150" i="7"/>
  <c r="P155" i="7"/>
  <c r="P154" i="7"/>
  <c r="P153" i="7"/>
  <c r="P156" i="7"/>
  <c r="P151" i="7"/>
  <c r="P157" i="7"/>
  <c r="P152" i="7"/>
  <c r="P165" i="7"/>
  <c r="P166" i="7"/>
  <c r="P167" i="7"/>
  <c r="P171" i="7"/>
  <c r="P173" i="7"/>
  <c r="P176" i="7"/>
  <c r="P177" i="7"/>
  <c r="P178" i="7"/>
  <c r="P181" i="7"/>
  <c r="P182" i="7"/>
  <c r="P183" i="7"/>
  <c r="P184" i="7"/>
  <c r="P185" i="7"/>
  <c r="P192" i="7"/>
  <c r="P196" i="7"/>
  <c r="P199" i="7"/>
  <c r="P204" i="7"/>
  <c r="P203" i="7"/>
  <c r="P197" i="7"/>
  <c r="P200" i="7"/>
  <c r="P201" i="7"/>
  <c r="P198" i="7"/>
  <c r="P202" i="7"/>
  <c r="P211" i="7"/>
  <c r="P25" i="7"/>
  <c r="P57" i="7"/>
  <c r="P81" i="7"/>
  <c r="P83" i="7"/>
  <c r="P101" i="7"/>
  <c r="P99" i="7"/>
  <c r="P212" i="7"/>
  <c r="P217" i="7"/>
  <c r="P218" i="7"/>
  <c r="P215" i="7"/>
  <c r="P216" i="7"/>
  <c r="P221" i="7"/>
  <c r="P222" i="7"/>
  <c r="P219" i="7"/>
  <c r="P220" i="7"/>
  <c r="P133" i="7"/>
  <c r="P131" i="7"/>
  <c r="P135" i="7"/>
  <c r="P129" i="7"/>
  <c r="P213" i="7"/>
  <c r="P134" i="7"/>
  <c r="P132" i="7"/>
  <c r="P136" i="7"/>
  <c r="P130" i="7"/>
  <c r="P168" i="7"/>
  <c r="P68" i="7"/>
  <c r="P105" i="7"/>
  <c r="P106" i="7"/>
  <c r="P109" i="7"/>
  <c r="P110" i="7"/>
  <c r="P113" i="7"/>
  <c r="P114" i="7"/>
  <c r="P116" i="7"/>
  <c r="P117" i="7"/>
  <c r="P118" i="7"/>
  <c r="P208" i="7"/>
  <c r="P209" i="7"/>
  <c r="P121" i="7"/>
  <c r="P122" i="7"/>
  <c r="P125" i="7"/>
  <c r="P126" i="7"/>
  <c r="P123" i="7"/>
  <c r="P119" i="7"/>
  <c r="P148" i="7"/>
  <c r="P147" i="7"/>
  <c r="P149" i="7"/>
  <c r="P43" i="7"/>
  <c r="P69" i="7"/>
  <c r="P70" i="7"/>
  <c r="P107" i="7"/>
  <c r="P111" i="7"/>
  <c r="P115" i="7"/>
  <c r="P124" i="7"/>
  <c r="P127" i="7"/>
  <c r="P120" i="7"/>
  <c r="P210" i="7"/>
  <c r="P2" i="7"/>
  <c r="P3" i="7"/>
  <c r="P4" i="7"/>
  <c r="P7" i="7"/>
  <c r="P12" i="7"/>
  <c r="P11" i="7"/>
  <c r="P13" i="7"/>
  <c r="P15" i="7"/>
  <c r="P17" i="7"/>
  <c r="P18" i="7"/>
  <c r="P22" i="7"/>
  <c r="P21" i="7"/>
  <c r="P23" i="7"/>
  <c r="P20" i="7"/>
  <c r="P27" i="7"/>
  <c r="P28" i="7"/>
  <c r="P32" i="7"/>
  <c r="P48" i="7"/>
  <c r="P45" i="7"/>
  <c r="P46" i="7"/>
  <c r="P50" i="7"/>
  <c r="P47" i="7"/>
  <c r="P53" i="7"/>
  <c r="P52" i="7"/>
  <c r="P55" i="7"/>
  <c r="P51" i="7"/>
  <c r="P61" i="7"/>
  <c r="P62" i="7"/>
  <c r="P63" i="7"/>
  <c r="P64" i="7"/>
  <c r="P67" i="7"/>
  <c r="P66" i="7"/>
  <c r="P65" i="7"/>
  <c r="P72" i="7"/>
  <c r="P74" i="7"/>
  <c r="P76" i="7"/>
  <c r="P75" i="7"/>
  <c r="P85" i="7"/>
  <c r="P87" i="7"/>
  <c r="P88" i="7"/>
  <c r="P91" i="7"/>
  <c r="P92" i="7"/>
  <c r="P137" i="7"/>
  <c r="P138" i="7"/>
  <c r="P139" i="7"/>
  <c r="P145" i="7"/>
  <c r="P158" i="7"/>
  <c r="P159" i="7"/>
  <c r="P160" i="7"/>
  <c r="P161" i="7"/>
  <c r="P163" i="7"/>
  <c r="P162" i="7"/>
  <c r="P172" i="7"/>
  <c r="P174" i="7"/>
  <c r="P175" i="7"/>
  <c r="P180" i="7"/>
  <c r="P179" i="7"/>
  <c r="P190" i="7"/>
  <c r="P189" i="7"/>
  <c r="P191" i="7"/>
  <c r="P193" i="7"/>
  <c r="P194" i="7"/>
  <c r="P195" i="7"/>
  <c r="P14" i="7"/>
  <c r="P16" i="7"/>
  <c r="P19" i="7"/>
  <c r="P44" i="7"/>
  <c r="P205" i="7"/>
  <c r="P206" i="7"/>
  <c r="P164" i="7"/>
  <c r="P93" i="7"/>
  <c r="P94" i="7"/>
  <c r="P95" i="7"/>
  <c r="P96" i="7"/>
  <c r="P97" i="7"/>
  <c r="P128" i="7"/>
  <c r="P187" i="7"/>
  <c r="P188" i="7"/>
  <c r="P186" i="7"/>
  <c r="P214" i="7"/>
  <c r="P170" i="7"/>
  <c r="P169" i="7"/>
  <c r="P86" i="7"/>
  <c r="Q9" i="7"/>
  <c r="Q10" i="7"/>
  <c r="Q42" i="7"/>
  <c r="Q60" i="7"/>
  <c r="Q58" i="7"/>
  <c r="Q89" i="7"/>
  <c r="Q26" i="7"/>
  <c r="Q40" i="7"/>
  <c r="R40" i="7" s="1"/>
  <c r="Q39" i="7"/>
  <c r="Q104" i="7"/>
  <c r="Q108" i="7"/>
  <c r="Q112" i="7"/>
  <c r="Q146" i="7"/>
  <c r="Q207" i="7"/>
  <c r="Q84" i="7"/>
  <c r="Q80" i="7"/>
  <c r="Q82" i="7"/>
  <c r="Q56" i="7"/>
  <c r="Q59" i="7"/>
  <c r="Q29" i="7"/>
  <c r="Q5" i="7"/>
  <c r="Q6" i="7"/>
  <c r="Q8" i="7"/>
  <c r="Q24" i="7"/>
  <c r="R24" i="7" s="1"/>
  <c r="Q30" i="7"/>
  <c r="Q31" i="7"/>
  <c r="Q33" i="7"/>
  <c r="Q34" i="7"/>
  <c r="Q35" i="7"/>
  <c r="Q36" i="7"/>
  <c r="Q37" i="7"/>
  <c r="Q38" i="7"/>
  <c r="Q41" i="7"/>
  <c r="Q49" i="7"/>
  <c r="Q54" i="7"/>
  <c r="Q71" i="7"/>
  <c r="Q73" i="7"/>
  <c r="Q77" i="7"/>
  <c r="Q78" i="7"/>
  <c r="Q79" i="7"/>
  <c r="R79" i="7" s="1"/>
  <c r="Q90" i="7"/>
  <c r="Q100" i="7"/>
  <c r="Q98" i="7"/>
  <c r="Q103" i="7"/>
  <c r="Q102" i="7"/>
  <c r="Q141" i="7"/>
  <c r="Q140" i="7"/>
  <c r="Q142" i="7"/>
  <c r="Q143" i="7"/>
  <c r="Q144" i="7"/>
  <c r="Q150" i="7"/>
  <c r="Q155" i="7"/>
  <c r="Q154" i="7"/>
  <c r="Q153" i="7"/>
  <c r="Q156" i="7"/>
  <c r="Q151" i="7"/>
  <c r="R151" i="7" s="1"/>
  <c r="Q157" i="7"/>
  <c r="Q152" i="7"/>
  <c r="Q165" i="7"/>
  <c r="Q166" i="7"/>
  <c r="Q167" i="7"/>
  <c r="Q171" i="7"/>
  <c r="Q173" i="7"/>
  <c r="Q176" i="7"/>
  <c r="Q177" i="7"/>
  <c r="Q178" i="7"/>
  <c r="Q181" i="7"/>
  <c r="Q182" i="7"/>
  <c r="Q183" i="7"/>
  <c r="Q184" i="7"/>
  <c r="Q185" i="7"/>
  <c r="Q192" i="7"/>
  <c r="R192" i="7" s="1"/>
  <c r="Q196" i="7"/>
  <c r="Q199" i="7"/>
  <c r="Q204" i="7"/>
  <c r="Q203" i="7"/>
  <c r="Q197" i="7"/>
  <c r="Q200" i="7"/>
  <c r="Q201" i="7"/>
  <c r="Q198" i="7"/>
  <c r="Q202" i="7"/>
  <c r="Q211" i="7"/>
  <c r="Q25" i="7"/>
  <c r="Q57" i="7"/>
  <c r="Q81" i="7"/>
  <c r="Q83" i="7"/>
  <c r="Q101" i="7"/>
  <c r="Q99" i="7"/>
  <c r="R99" i="7" s="1"/>
  <c r="Q212" i="7"/>
  <c r="Q217" i="7"/>
  <c r="Q218" i="7"/>
  <c r="Q215" i="7"/>
  <c r="Q216" i="7"/>
  <c r="Q221" i="7"/>
  <c r="Q222" i="7"/>
  <c r="Q219" i="7"/>
  <c r="Q220" i="7"/>
  <c r="Q133" i="7"/>
  <c r="Q131" i="7"/>
  <c r="Q135" i="7"/>
  <c r="Q129" i="7"/>
  <c r="Q213" i="7"/>
  <c r="Q134" i="7"/>
  <c r="Q132" i="7"/>
  <c r="R132" i="7" s="1"/>
  <c r="Q136" i="7"/>
  <c r="Q130" i="7"/>
  <c r="Q168" i="7"/>
  <c r="Q68" i="7"/>
  <c r="Q105" i="7"/>
  <c r="Q106" i="7"/>
  <c r="Q109" i="7"/>
  <c r="Q110" i="7"/>
  <c r="Q113" i="7"/>
  <c r="Q114" i="7"/>
  <c r="Q116" i="7"/>
  <c r="Q117" i="7"/>
  <c r="Q118" i="7"/>
  <c r="Q208" i="7"/>
  <c r="Q209" i="7"/>
  <c r="Q121" i="7"/>
  <c r="R121" i="7" s="1"/>
  <c r="Q122" i="7"/>
  <c r="Q125" i="7"/>
  <c r="Q126" i="7"/>
  <c r="Q123" i="7"/>
  <c r="Q119" i="7"/>
  <c r="Q148" i="7"/>
  <c r="Q147" i="7"/>
  <c r="Q149" i="7"/>
  <c r="Q43" i="7"/>
  <c r="Q69" i="7"/>
  <c r="Q70" i="7"/>
  <c r="Q107" i="7"/>
  <c r="Q111" i="7"/>
  <c r="Q115" i="7"/>
  <c r="Q124" i="7"/>
  <c r="Q127" i="7"/>
  <c r="R127" i="7" s="1"/>
  <c r="Q120" i="7"/>
  <c r="Q210" i="7"/>
  <c r="Q2" i="7"/>
  <c r="Q3" i="7"/>
  <c r="Q4" i="7"/>
  <c r="Q7" i="7"/>
  <c r="Q12" i="7"/>
  <c r="Q11" i="7"/>
  <c r="Q13" i="7"/>
  <c r="Q15" i="7"/>
  <c r="Q17" i="7"/>
  <c r="Q18" i="7"/>
  <c r="Q22" i="7"/>
  <c r="Q21" i="7"/>
  <c r="Q23" i="7"/>
  <c r="Q20" i="7"/>
  <c r="R20" i="7" s="1"/>
  <c r="Q27" i="7"/>
  <c r="Q28" i="7"/>
  <c r="Q32" i="7"/>
  <c r="Q48" i="7"/>
  <c r="Q45" i="7"/>
  <c r="Q46" i="7"/>
  <c r="Q50" i="7"/>
  <c r="Q47" i="7"/>
  <c r="Q53" i="7"/>
  <c r="Q52" i="7"/>
  <c r="Q55" i="7"/>
  <c r="Q51" i="7"/>
  <c r="Q61" i="7"/>
  <c r="Q62" i="7"/>
  <c r="Q63" i="7"/>
  <c r="Q64" i="7"/>
  <c r="R64" i="7" s="1"/>
  <c r="Q67" i="7"/>
  <c r="Q66" i="7"/>
  <c r="Q65" i="7"/>
  <c r="Q72" i="7"/>
  <c r="Q74" i="7"/>
  <c r="Q76" i="7"/>
  <c r="Q75" i="7"/>
  <c r="Q85" i="7"/>
  <c r="Q87" i="7"/>
  <c r="Q88" i="7"/>
  <c r="Q91" i="7"/>
  <c r="Q92" i="7"/>
  <c r="Q137" i="7"/>
  <c r="Q138" i="7"/>
  <c r="Q139" i="7"/>
  <c r="Q145" i="7"/>
  <c r="R145" i="7" s="1"/>
  <c r="Q158" i="7"/>
  <c r="Q159" i="7"/>
  <c r="Q160" i="7"/>
  <c r="Q161" i="7"/>
  <c r="Q163" i="7"/>
  <c r="Q162" i="7"/>
  <c r="Q172" i="7"/>
  <c r="Q174" i="7"/>
  <c r="Q175" i="7"/>
  <c r="Q180" i="7"/>
  <c r="Q179" i="7"/>
  <c r="Q190" i="7"/>
  <c r="Q189" i="7"/>
  <c r="Q191" i="7"/>
  <c r="Q193" i="7"/>
  <c r="Q194" i="7"/>
  <c r="R194" i="7" s="1"/>
  <c r="Q195" i="7"/>
  <c r="Q14" i="7"/>
  <c r="Q16" i="7"/>
  <c r="Q19" i="7"/>
  <c r="Q44" i="7"/>
  <c r="Q205" i="7"/>
  <c r="Q206" i="7"/>
  <c r="Q164" i="7"/>
  <c r="Q93" i="7"/>
  <c r="Q94" i="7"/>
  <c r="Q95" i="7"/>
  <c r="Q96" i="7"/>
  <c r="Q97" i="7"/>
  <c r="Q128" i="7"/>
  <c r="Q187" i="7"/>
  <c r="Q188" i="7"/>
  <c r="R188" i="7" s="1"/>
  <c r="Q186" i="7"/>
  <c r="Q214" i="7"/>
  <c r="Q170" i="7"/>
  <c r="Q169" i="7"/>
  <c r="Q86" i="7"/>
  <c r="R33" i="7"/>
  <c r="E709" i="5"/>
  <c r="D191" i="5"/>
  <c r="C191" i="5"/>
  <c r="B191" i="5"/>
  <c r="D190" i="5"/>
  <c r="B190" i="5"/>
  <c r="C190" i="5"/>
  <c r="D189" i="5"/>
  <c r="C189" i="5"/>
  <c r="B189" i="5"/>
  <c r="C184" i="5"/>
  <c r="C741" i="5"/>
  <c r="C740" i="5"/>
  <c r="B741" i="5"/>
  <c r="D745" i="5"/>
  <c r="E745" i="5" s="1"/>
  <c r="D746" i="5"/>
  <c r="E746" i="5" s="1"/>
  <c r="D747" i="5"/>
  <c r="E747" i="5" s="1"/>
  <c r="D744" i="5"/>
  <c r="E744" i="5" s="1"/>
  <c r="D719" i="5"/>
  <c r="B720" i="5"/>
  <c r="D721" i="5" s="1"/>
  <c r="C734" i="5"/>
  <c r="B734" i="5"/>
  <c r="C726" i="5"/>
  <c r="C727" i="5" s="1"/>
  <c r="B726" i="5"/>
  <c r="B727" i="5" s="1"/>
  <c r="H710" i="5"/>
  <c r="H709" i="5"/>
  <c r="E710" i="5"/>
  <c r="E711" i="5"/>
  <c r="E712" i="5"/>
  <c r="E713" i="5"/>
  <c r="C710" i="5"/>
  <c r="C711" i="5"/>
  <c r="C712" i="5"/>
  <c r="C713" i="5"/>
  <c r="C709" i="5"/>
  <c r="B714" i="5"/>
  <c r="C714" i="5" s="1"/>
  <c r="D19" i="5"/>
  <c r="D20" i="5" s="1"/>
  <c r="B26" i="5"/>
  <c r="C26" i="5"/>
  <c r="B31" i="5"/>
  <c r="C31" i="5"/>
  <c r="AG129" i="2"/>
  <c r="AG126" i="2"/>
  <c r="AG123" i="2"/>
  <c r="AG122" i="2"/>
  <c r="AG128" i="2"/>
  <c r="AG125" i="2"/>
  <c r="AG121" i="2"/>
  <c r="AG120" i="2"/>
  <c r="L129" i="2"/>
  <c r="L126" i="2"/>
  <c r="L123" i="2"/>
  <c r="L122" i="2"/>
  <c r="L128" i="2"/>
  <c r="L125" i="2"/>
  <c r="L121" i="2"/>
  <c r="L120" i="2"/>
  <c r="AU122" i="2"/>
  <c r="AT122" i="2"/>
  <c r="AS122" i="2"/>
  <c r="BD122" i="2"/>
  <c r="BC122" i="2"/>
  <c r="BB122" i="2"/>
  <c r="AY122" i="2"/>
  <c r="AX122" i="2"/>
  <c r="AW122" i="2"/>
  <c r="AU120" i="2"/>
  <c r="AT120" i="2"/>
  <c r="AS120" i="2"/>
  <c r="BD120" i="2"/>
  <c r="BC120" i="2"/>
  <c r="BB120" i="2"/>
  <c r="AW120" i="2"/>
  <c r="B672" i="5"/>
  <c r="B671" i="5"/>
  <c r="C645" i="5"/>
  <c r="D644" i="5"/>
  <c r="B644" i="5"/>
  <c r="C643" i="5"/>
  <c r="C640" i="5"/>
  <c r="D639" i="5"/>
  <c r="B639" i="5"/>
  <c r="C638" i="5"/>
  <c r="C655" i="5"/>
  <c r="D654" i="5"/>
  <c r="B654" i="5"/>
  <c r="C653" i="5"/>
  <c r="C648" i="5"/>
  <c r="C650" i="5"/>
  <c r="B649" i="5"/>
  <c r="D649" i="5"/>
  <c r="AG112" i="2"/>
  <c r="AG114" i="2"/>
  <c r="AG115" i="2"/>
  <c r="AG113" i="2"/>
  <c r="B634" i="5"/>
  <c r="B633" i="5" s="1"/>
  <c r="C633" i="5"/>
  <c r="C628" i="5"/>
  <c r="B629" i="5"/>
  <c r="B628" i="5" s="1"/>
  <c r="I620" i="5"/>
  <c r="I619" i="5"/>
  <c r="F619" i="5"/>
  <c r="AG90" i="2"/>
  <c r="AG91" i="2"/>
  <c r="AG92" i="2"/>
  <c r="AG89" i="2"/>
  <c r="C603" i="5"/>
  <c r="C602" i="5"/>
  <c r="C601" i="5"/>
  <c r="C598" i="5"/>
  <c r="C597" i="5"/>
  <c r="C596" i="5"/>
  <c r="D591" i="5"/>
  <c r="B591" i="5"/>
  <c r="C589" i="5"/>
  <c r="C590" i="5"/>
  <c r="C583" i="5"/>
  <c r="B583" i="5"/>
  <c r="Y55" i="2"/>
  <c r="C485" i="5"/>
  <c r="AG55" i="2"/>
  <c r="AG60" i="2"/>
  <c r="AG58" i="2"/>
  <c r="Y60" i="2"/>
  <c r="Y58" i="2"/>
  <c r="C475" i="5"/>
  <c r="C470" i="5"/>
  <c r="C473" i="5"/>
  <c r="F471" i="5" s="1"/>
  <c r="C468" i="5"/>
  <c r="F466" i="5" s="1"/>
  <c r="C483" i="5"/>
  <c r="B483" i="5"/>
  <c r="C439" i="5"/>
  <c r="B439" i="5"/>
  <c r="B438" i="5" s="1"/>
  <c r="C437" i="5"/>
  <c r="AG39" i="2"/>
  <c r="C575" i="5"/>
  <c r="C576" i="5" s="1"/>
  <c r="B575" i="5"/>
  <c r="B576" i="5" s="1"/>
  <c r="AG69" i="2"/>
  <c r="AG66" i="2"/>
  <c r="AG67" i="2"/>
  <c r="AG41" i="2"/>
  <c r="B570" i="5"/>
  <c r="B569" i="5" s="1"/>
  <c r="C570" i="5"/>
  <c r="C569" i="5" s="1"/>
  <c r="D569" i="5"/>
  <c r="E820" i="5" l="1"/>
  <c r="D821" i="5"/>
  <c r="C821" i="5" s="1"/>
  <c r="C820" i="5"/>
  <c r="E815" i="5"/>
  <c r="C816" i="5"/>
  <c r="C817" i="5" s="1"/>
  <c r="G801" i="5"/>
  <c r="G803" i="5" s="1"/>
  <c r="G802" i="5"/>
  <c r="G804" i="5" s="1"/>
  <c r="B791" i="5"/>
  <c r="B790" i="5"/>
  <c r="B792" i="5" s="1"/>
  <c r="B778" i="5"/>
  <c r="B779" i="5"/>
  <c r="E714" i="5"/>
  <c r="B721" i="5"/>
  <c r="C721" i="5" s="1"/>
  <c r="B767" i="5"/>
  <c r="B766" i="5"/>
  <c r="B768" i="5" s="1"/>
  <c r="B799" i="5"/>
  <c r="B800" i="5" s="1"/>
  <c r="B801" i="5" s="1"/>
  <c r="B803" i="5" s="1"/>
  <c r="R180" i="7"/>
  <c r="R211" i="7"/>
  <c r="R87" i="7"/>
  <c r="R177" i="7"/>
  <c r="R143" i="7"/>
  <c r="R41" i="7"/>
  <c r="R9" i="7"/>
  <c r="R86" i="7"/>
  <c r="R94" i="7"/>
  <c r="R178" i="7"/>
  <c r="R175" i="7"/>
  <c r="R113" i="7"/>
  <c r="R82" i="7"/>
  <c r="R91" i="7"/>
  <c r="R69" i="7"/>
  <c r="R56" i="7"/>
  <c r="R202" i="7"/>
  <c r="R15" i="7"/>
  <c r="R144" i="7"/>
  <c r="R43" i="7"/>
  <c r="R31" i="7"/>
  <c r="R133" i="7"/>
  <c r="R13" i="7"/>
  <c r="R186" i="7"/>
  <c r="R195" i="7"/>
  <c r="R27" i="7"/>
  <c r="R122" i="7"/>
  <c r="R136" i="7"/>
  <c r="R212" i="7"/>
  <c r="R196" i="7"/>
  <c r="R157" i="7"/>
  <c r="R30" i="7"/>
  <c r="R39" i="7"/>
  <c r="R83" i="7"/>
  <c r="R184" i="7"/>
  <c r="R77" i="7"/>
  <c r="R179" i="7"/>
  <c r="R88" i="7"/>
  <c r="R114" i="7"/>
  <c r="R10" i="7"/>
  <c r="R93" i="7"/>
  <c r="R220" i="7"/>
  <c r="R67" i="7"/>
  <c r="R52" i="7"/>
  <c r="R49" i="7"/>
  <c r="R53" i="7"/>
  <c r="R158" i="7"/>
  <c r="R96" i="7"/>
  <c r="R190" i="7"/>
  <c r="R205" i="7"/>
  <c r="R46" i="7"/>
  <c r="R141" i="7"/>
  <c r="R207" i="7"/>
  <c r="R120" i="7"/>
  <c r="R90" i="7"/>
  <c r="R187" i="7"/>
  <c r="R63" i="7"/>
  <c r="R124" i="7"/>
  <c r="R134" i="7"/>
  <c r="R185" i="7"/>
  <c r="R78" i="7"/>
  <c r="R26" i="7"/>
  <c r="R191" i="7"/>
  <c r="R62" i="7"/>
  <c r="R115" i="7"/>
  <c r="R116" i="7"/>
  <c r="R139" i="7"/>
  <c r="R23" i="7"/>
  <c r="R209" i="7"/>
  <c r="R101" i="7"/>
  <c r="R156" i="7"/>
  <c r="R8" i="7"/>
  <c r="R128" i="7"/>
  <c r="R21" i="7"/>
  <c r="R213" i="7"/>
  <c r="R70" i="7"/>
  <c r="R181" i="7"/>
  <c r="R170" i="7"/>
  <c r="R16" i="7"/>
  <c r="R160" i="7"/>
  <c r="R65" i="7"/>
  <c r="R32" i="7"/>
  <c r="R2" i="7"/>
  <c r="R126" i="7"/>
  <c r="R214" i="7"/>
  <c r="R210" i="7"/>
  <c r="R125" i="7"/>
  <c r="R199" i="7"/>
  <c r="R169" i="7"/>
  <c r="R48" i="7"/>
  <c r="R123" i="7"/>
  <c r="R68" i="7"/>
  <c r="R103" i="7"/>
  <c r="R112" i="7"/>
  <c r="R6" i="7"/>
  <c r="R193" i="7"/>
  <c r="R51" i="7"/>
  <c r="R107" i="7"/>
  <c r="R117" i="7"/>
  <c r="R182" i="7"/>
  <c r="R25" i="7"/>
  <c r="R66" i="7"/>
  <c r="R28" i="7"/>
  <c r="R130" i="7"/>
  <c r="R217" i="7"/>
  <c r="R100" i="7"/>
  <c r="R104" i="7"/>
  <c r="R7" i="7"/>
  <c r="R148" i="7"/>
  <c r="R200" i="7"/>
  <c r="R171" i="7"/>
  <c r="R44" i="7"/>
  <c r="R74" i="7"/>
  <c r="R45" i="7"/>
  <c r="R119" i="7"/>
  <c r="R105" i="7"/>
  <c r="R216" i="7"/>
  <c r="R167" i="7"/>
  <c r="R102" i="7"/>
  <c r="R35" i="7"/>
  <c r="R161" i="7"/>
  <c r="R215" i="7"/>
  <c r="R166" i="7"/>
  <c r="R34" i="7"/>
  <c r="R168" i="7"/>
  <c r="R218" i="7"/>
  <c r="R204" i="7"/>
  <c r="R165" i="7"/>
  <c r="R98" i="7"/>
  <c r="R108" i="7"/>
  <c r="R97" i="7"/>
  <c r="R189" i="7"/>
  <c r="R137" i="7"/>
  <c r="R61" i="7"/>
  <c r="R22" i="7"/>
  <c r="R111" i="7"/>
  <c r="R118" i="7"/>
  <c r="R129" i="7"/>
  <c r="R81" i="7"/>
  <c r="R183" i="7"/>
  <c r="R154" i="7"/>
  <c r="R73" i="7"/>
  <c r="R5" i="7"/>
  <c r="R58" i="7"/>
  <c r="R92" i="7"/>
  <c r="R18" i="7"/>
  <c r="R135" i="7"/>
  <c r="R57" i="7"/>
  <c r="R155" i="7"/>
  <c r="R71" i="7"/>
  <c r="R29" i="7"/>
  <c r="R60" i="7"/>
  <c r="R17" i="7"/>
  <c r="R59" i="7"/>
  <c r="R42" i="7"/>
  <c r="R174" i="7"/>
  <c r="R85" i="7"/>
  <c r="R149" i="7"/>
  <c r="R110" i="7"/>
  <c r="R176" i="7"/>
  <c r="R142" i="7"/>
  <c r="R206" i="7"/>
  <c r="R172" i="7"/>
  <c r="R50" i="7"/>
  <c r="R12" i="7"/>
  <c r="R147" i="7"/>
  <c r="R201" i="7"/>
  <c r="R173" i="7"/>
  <c r="R37" i="7"/>
  <c r="R84" i="7"/>
  <c r="R80" i="7"/>
  <c r="R109" i="7"/>
  <c r="R76" i="7"/>
  <c r="R163" i="7"/>
  <c r="R4" i="7"/>
  <c r="R197" i="7"/>
  <c r="R146" i="7"/>
  <c r="R140" i="7"/>
  <c r="R106" i="7"/>
  <c r="R19" i="7"/>
  <c r="R3" i="7"/>
  <c r="R203" i="7"/>
  <c r="R11" i="7"/>
  <c r="R219" i="7"/>
  <c r="R38" i="7"/>
  <c r="R75" i="7"/>
  <c r="R162" i="7"/>
  <c r="R36" i="7"/>
  <c r="R72" i="7"/>
  <c r="R164" i="7"/>
  <c r="R47" i="7"/>
  <c r="R198" i="7"/>
  <c r="R222" i="7"/>
  <c r="R221" i="7"/>
  <c r="R14" i="7"/>
  <c r="R159" i="7"/>
  <c r="R152" i="7"/>
  <c r="R208" i="7"/>
  <c r="R89" i="7"/>
  <c r="R138" i="7"/>
  <c r="R153" i="7"/>
  <c r="R95" i="7"/>
  <c r="R55" i="7"/>
  <c r="R131" i="7"/>
  <c r="R150" i="7"/>
  <c r="R54" i="7"/>
  <c r="E748" i="5"/>
  <c r="D748" i="5"/>
  <c r="C649" i="5"/>
  <c r="C644" i="5"/>
  <c r="C639" i="5"/>
  <c r="C654" i="5"/>
  <c r="I621" i="5"/>
  <c r="F621" i="5" s="1"/>
  <c r="C591" i="5"/>
  <c r="F474" i="5"/>
  <c r="F472" i="5"/>
  <c r="F473" i="5"/>
  <c r="F467" i="5"/>
  <c r="F468" i="5"/>
  <c r="F469" i="5"/>
  <c r="C438" i="5"/>
  <c r="D439" i="5"/>
  <c r="D438" i="5" s="1"/>
  <c r="AF34" i="2"/>
  <c r="AG33" i="2"/>
  <c r="C562" i="5"/>
  <c r="B560" i="5"/>
  <c r="A560" i="5"/>
  <c r="Y25" i="2"/>
  <c r="Y26" i="2"/>
  <c r="Y24" i="2"/>
  <c r="AF25" i="2"/>
  <c r="AG25" i="2" s="1"/>
  <c r="AF24" i="2"/>
  <c r="AG24" i="2" s="1"/>
  <c r="AF26" i="2"/>
  <c r="AG26" i="2" s="1"/>
  <c r="AF23" i="2"/>
  <c r="AG23" i="2" s="1"/>
  <c r="F414" i="5"/>
  <c r="B414" i="5"/>
  <c r="H413" i="5"/>
  <c r="I413" i="5" s="1"/>
  <c r="D413" i="5"/>
  <c r="H407" i="5"/>
  <c r="H408" i="5" s="1"/>
  <c r="D407" i="5"/>
  <c r="E407" i="5" s="1"/>
  <c r="F408" i="5"/>
  <c r="B408" i="5"/>
  <c r="AG14" i="2"/>
  <c r="Y14" i="2"/>
  <c r="AG13" i="2"/>
  <c r="Y13" i="2"/>
  <c r="C556" i="5"/>
  <c r="C557" i="5" s="1"/>
  <c r="B556" i="5"/>
  <c r="B557" i="5" s="1"/>
  <c r="AG12" i="2"/>
  <c r="D551" i="5"/>
  <c r="C551" i="5" s="1"/>
  <c r="C550" i="5"/>
  <c r="C549" i="5"/>
  <c r="C548" i="5"/>
  <c r="D545" i="5"/>
  <c r="C544" i="5"/>
  <c r="C543" i="5"/>
  <c r="C542" i="5"/>
  <c r="B537" i="5"/>
  <c r="D532" i="5"/>
  <c r="D531" i="5"/>
  <c r="C530" i="5"/>
  <c r="B530" i="5"/>
  <c r="D529" i="5"/>
  <c r="C524" i="5"/>
  <c r="D523" i="5"/>
  <c r="E523" i="5" s="1"/>
  <c r="C518" i="5" s="1"/>
  <c r="C519" i="5" s="1"/>
  <c r="D522" i="5"/>
  <c r="E522" i="5" s="1"/>
  <c r="B518" i="5" s="1"/>
  <c r="B519" i="5" s="1"/>
  <c r="D519" i="5"/>
  <c r="D512" i="5"/>
  <c r="B513" i="5" s="1"/>
  <c r="C511" i="5"/>
  <c r="B511" i="5"/>
  <c r="D510" i="5"/>
  <c r="D507" i="5"/>
  <c r="C506" i="5"/>
  <c r="B506" i="5"/>
  <c r="D505" i="5"/>
  <c r="D502" i="5"/>
  <c r="C501" i="5"/>
  <c r="B501" i="5"/>
  <c r="D500" i="5"/>
  <c r="D497" i="5"/>
  <c r="C496" i="5"/>
  <c r="B496" i="5"/>
  <c r="D495" i="5"/>
  <c r="D492" i="5"/>
  <c r="C491" i="5"/>
  <c r="B491" i="5"/>
  <c r="D490" i="5"/>
  <c r="C478" i="5"/>
  <c r="B478" i="5"/>
  <c r="D464" i="5"/>
  <c r="C463" i="5"/>
  <c r="D463" i="5" s="1"/>
  <c r="D462" i="5"/>
  <c r="D458" i="5"/>
  <c r="C457" i="5"/>
  <c r="B457" i="5"/>
  <c r="D456" i="5"/>
  <c r="C434" i="5"/>
  <c r="D433" i="5"/>
  <c r="B433" i="5"/>
  <c r="C432" i="5"/>
  <c r="D427" i="5"/>
  <c r="C426" i="5"/>
  <c r="B426" i="5"/>
  <c r="D425" i="5"/>
  <c r="D422" i="5"/>
  <c r="C421" i="5"/>
  <c r="B421" i="5"/>
  <c r="D420" i="5"/>
  <c r="G403" i="5"/>
  <c r="D403" i="5"/>
  <c r="G402" i="5"/>
  <c r="D402" i="5"/>
  <c r="G401" i="5"/>
  <c r="D401" i="5"/>
  <c r="D395" i="5"/>
  <c r="D394" i="5"/>
  <c r="H386" i="5"/>
  <c r="G386" i="5"/>
  <c r="C386" i="5"/>
  <c r="B386" i="5"/>
  <c r="I385" i="5"/>
  <c r="D385" i="5"/>
  <c r="D382" i="5"/>
  <c r="D381" i="5"/>
  <c r="G376" i="5"/>
  <c r="F376" i="5"/>
  <c r="E376" i="5"/>
  <c r="G375" i="5"/>
  <c r="F375" i="5"/>
  <c r="E375" i="5"/>
  <c r="O362" i="5"/>
  <c r="N362" i="5"/>
  <c r="K362" i="5"/>
  <c r="J362" i="5"/>
  <c r="G362" i="5"/>
  <c r="F362" i="5"/>
  <c r="C362" i="5"/>
  <c r="B362" i="5"/>
  <c r="O350" i="5"/>
  <c r="N350" i="5"/>
  <c r="K350" i="5"/>
  <c r="J350" i="5"/>
  <c r="N340" i="5"/>
  <c r="O340" i="5" s="1"/>
  <c r="R339" i="5"/>
  <c r="S339" i="5" s="1"/>
  <c r="O339" i="5"/>
  <c r="S338" i="5"/>
  <c r="O338" i="5"/>
  <c r="S337" i="5"/>
  <c r="O337" i="5"/>
  <c r="J337" i="5"/>
  <c r="K337" i="5" s="1"/>
  <c r="F337" i="5"/>
  <c r="G337" i="5" s="1"/>
  <c r="B337" i="5"/>
  <c r="C337" i="5" s="1"/>
  <c r="S336" i="5"/>
  <c r="O336" i="5"/>
  <c r="K336" i="5"/>
  <c r="G336" i="5"/>
  <c r="C336" i="5"/>
  <c r="S335" i="5"/>
  <c r="O335" i="5"/>
  <c r="K335" i="5"/>
  <c r="G335" i="5"/>
  <c r="C335" i="5"/>
  <c r="S334" i="5"/>
  <c r="O334" i="5"/>
  <c r="K334" i="5"/>
  <c r="G334" i="5"/>
  <c r="C334" i="5"/>
  <c r="S333" i="5"/>
  <c r="O333" i="5"/>
  <c r="K333" i="5"/>
  <c r="G333" i="5"/>
  <c r="C333" i="5"/>
  <c r="D330" i="5"/>
  <c r="B330" i="5"/>
  <c r="C329" i="5"/>
  <c r="J324" i="5"/>
  <c r="G324" i="5"/>
  <c r="D320" i="5"/>
  <c r="C320" i="5"/>
  <c r="B320" i="5"/>
  <c r="M310" i="5"/>
  <c r="H310" i="5"/>
  <c r="C310" i="5"/>
  <c r="M309" i="5"/>
  <c r="H309" i="5"/>
  <c r="C309" i="5"/>
  <c r="N308" i="5"/>
  <c r="L308" i="5"/>
  <c r="I308" i="5"/>
  <c r="G308" i="5"/>
  <c r="D308" i="5"/>
  <c r="B308" i="5"/>
  <c r="C296" i="5"/>
  <c r="C297" i="5" s="1"/>
  <c r="B296" i="5"/>
  <c r="B297" i="5" s="1"/>
  <c r="C287" i="5"/>
  <c r="B287" i="5"/>
  <c r="G286" i="5"/>
  <c r="F286" i="5"/>
  <c r="G277" i="5"/>
  <c r="F277" i="5"/>
  <c r="C276" i="5"/>
  <c r="B276" i="5"/>
  <c r="K265" i="5"/>
  <c r="I265" i="5"/>
  <c r="H265" i="5"/>
  <c r="E265" i="5"/>
  <c r="C265" i="5"/>
  <c r="B265" i="5"/>
  <c r="K264" i="5"/>
  <c r="E264" i="5"/>
  <c r="C254" i="5"/>
  <c r="K238" i="5"/>
  <c r="G238" i="5"/>
  <c r="D238" i="5"/>
  <c r="C238" i="5"/>
  <c r="J237" i="5"/>
  <c r="F237" i="5"/>
  <c r="B237" i="5"/>
  <c r="K236" i="5"/>
  <c r="G236" i="5"/>
  <c r="C236" i="5"/>
  <c r="S226" i="5"/>
  <c r="O226" i="5"/>
  <c r="K226" i="5"/>
  <c r="J226" i="5"/>
  <c r="G226" i="5"/>
  <c r="F226" i="5"/>
  <c r="C226" i="5"/>
  <c r="B226" i="5"/>
  <c r="R225" i="5"/>
  <c r="N225" i="5"/>
  <c r="R224" i="5"/>
  <c r="N224" i="5"/>
  <c r="B211" i="5"/>
  <c r="B210" i="5"/>
  <c r="C198" i="5"/>
  <c r="F197" i="5"/>
  <c r="D197" i="5"/>
  <c r="E197" i="5" s="1"/>
  <c r="C174" i="5"/>
  <c r="B174" i="5"/>
  <c r="G162" i="5"/>
  <c r="F162" i="5"/>
  <c r="C162" i="5"/>
  <c r="B162" i="5"/>
  <c r="G152" i="5"/>
  <c r="F152" i="5"/>
  <c r="C152" i="5"/>
  <c r="B152" i="5"/>
  <c r="G141" i="5"/>
  <c r="F141" i="5"/>
  <c r="C141" i="5"/>
  <c r="B141" i="5"/>
  <c r="C140" i="5"/>
  <c r="G139" i="5"/>
  <c r="G140" i="5" s="1"/>
  <c r="G131" i="5"/>
  <c r="F131" i="5"/>
  <c r="C131" i="5"/>
  <c r="B131" i="5"/>
  <c r="G130" i="5"/>
  <c r="C130" i="5"/>
  <c r="G129" i="5"/>
  <c r="N128" i="5"/>
  <c r="M127" i="5"/>
  <c r="L127" i="5"/>
  <c r="N126" i="5"/>
  <c r="Q126" i="5" s="1"/>
  <c r="G121" i="5"/>
  <c r="C121" i="5"/>
  <c r="B121" i="5"/>
  <c r="G120" i="5"/>
  <c r="F120" i="5"/>
  <c r="C120" i="5"/>
  <c r="B120" i="5"/>
  <c r="D119" i="5"/>
  <c r="E102" i="5"/>
  <c r="D102" i="5"/>
  <c r="B102" i="5"/>
  <c r="C101" i="5"/>
  <c r="C102" i="5" s="1"/>
  <c r="H92" i="5"/>
  <c r="H93" i="5" s="1"/>
  <c r="H94" i="5" s="1"/>
  <c r="E92" i="5"/>
  <c r="E93" i="5" s="1"/>
  <c r="E94" i="5" s="1"/>
  <c r="B92" i="5"/>
  <c r="B93" i="5" s="1"/>
  <c r="B94" i="5" s="1"/>
  <c r="B79" i="5"/>
  <c r="B78" i="5"/>
  <c r="E64" i="5"/>
  <c r="B64" i="5"/>
  <c r="E63" i="5"/>
  <c r="B63" i="5"/>
  <c r="R56" i="5"/>
  <c r="S56" i="5" s="1"/>
  <c r="S55" i="5"/>
  <c r="M53" i="5"/>
  <c r="L53" i="5"/>
  <c r="N52" i="5"/>
  <c r="O52" i="5" s="1"/>
  <c r="H52" i="5"/>
  <c r="C52" i="5"/>
  <c r="R51" i="5"/>
  <c r="S51" i="5" s="1"/>
  <c r="N51" i="5"/>
  <c r="O51" i="5" s="1"/>
  <c r="I51" i="5"/>
  <c r="G51" i="5"/>
  <c r="D51" i="5"/>
  <c r="B51" i="5"/>
  <c r="S50" i="5"/>
  <c r="N50" i="5"/>
  <c r="O50" i="5" s="1"/>
  <c r="H50" i="5"/>
  <c r="C50" i="5"/>
  <c r="M39" i="5"/>
  <c r="L39" i="5"/>
  <c r="H39" i="5"/>
  <c r="G39" i="5"/>
  <c r="C39" i="5"/>
  <c r="B39" i="5"/>
  <c r="C19" i="5"/>
  <c r="B19" i="5"/>
  <c r="D13" i="5"/>
  <c r="B12" i="5"/>
  <c r="A12" i="5"/>
  <c r="C11" i="5"/>
  <c r="C822" i="5" l="1"/>
  <c r="D822" i="5"/>
  <c r="E822" i="5" s="1"/>
  <c r="D817" i="5"/>
  <c r="E817" i="5" s="1"/>
  <c r="B780" i="5"/>
  <c r="B802" i="5"/>
  <c r="B804" i="5" s="1"/>
  <c r="F620" i="5"/>
  <c r="I408" i="5"/>
  <c r="C560" i="5"/>
  <c r="C563" i="5" s="1"/>
  <c r="I407" i="5"/>
  <c r="M407" i="5" s="1"/>
  <c r="L413" i="5"/>
  <c r="H414" i="5"/>
  <c r="I414" i="5" s="1"/>
  <c r="E413" i="5"/>
  <c r="M413" i="5" s="1"/>
  <c r="D414" i="5"/>
  <c r="D408" i="5"/>
  <c r="E408" i="5" s="1"/>
  <c r="L407" i="5"/>
  <c r="D501" i="5"/>
  <c r="D426" i="5"/>
  <c r="D511" i="5"/>
  <c r="H494" i="5"/>
  <c r="C237" i="5"/>
  <c r="C308" i="5"/>
  <c r="H308" i="5"/>
  <c r="D226" i="5"/>
  <c r="H226" i="5"/>
  <c r="D496" i="5"/>
  <c r="I509" i="5"/>
  <c r="C51" i="5"/>
  <c r="H51" i="5"/>
  <c r="N53" i="5"/>
  <c r="O53" i="5" s="1"/>
  <c r="I386" i="5"/>
  <c r="H401" i="5"/>
  <c r="D404" i="5"/>
  <c r="D457" i="5"/>
  <c r="R226" i="5"/>
  <c r="T226" i="5" s="1"/>
  <c r="H489" i="5"/>
  <c r="C433" i="5"/>
  <c r="H509" i="5"/>
  <c r="G237" i="5"/>
  <c r="C330" i="5"/>
  <c r="D530" i="5"/>
  <c r="R228" i="5"/>
  <c r="D11" i="5"/>
  <c r="I499" i="5"/>
  <c r="O126" i="5"/>
  <c r="H402" i="5"/>
  <c r="N226" i="5"/>
  <c r="P226" i="5" s="1"/>
  <c r="H403" i="5"/>
  <c r="H499" i="5"/>
  <c r="C12" i="5"/>
  <c r="D421" i="5"/>
  <c r="M308" i="5"/>
  <c r="T224" i="5"/>
  <c r="L123" i="5"/>
  <c r="D386" i="5"/>
  <c r="L226" i="5"/>
  <c r="K237" i="5"/>
  <c r="D556" i="5"/>
  <c r="I489" i="5"/>
  <c r="D491" i="5"/>
  <c r="D506" i="5"/>
  <c r="D557" i="5"/>
  <c r="B95" i="5"/>
  <c r="B96" i="5"/>
  <c r="E96" i="5"/>
  <c r="E95" i="5"/>
  <c r="H96" i="5"/>
  <c r="H95" i="5"/>
  <c r="N127" i="5"/>
  <c r="Q127" i="5" s="1"/>
  <c r="B80" i="5"/>
  <c r="B81" i="5" s="1"/>
  <c r="B83" i="5" s="1"/>
  <c r="B85" i="5" s="1"/>
  <c r="B65" i="5"/>
  <c r="B66" i="5" s="1"/>
  <c r="B68" i="5" s="1"/>
  <c r="B70" i="5" s="1"/>
  <c r="E65" i="5"/>
  <c r="E66" i="5" s="1"/>
  <c r="E67" i="5" s="1"/>
  <c r="E69" i="5" s="1"/>
  <c r="I494" i="5"/>
  <c r="B212" i="5"/>
  <c r="B213" i="5" s="1"/>
  <c r="B215" i="5" s="1"/>
  <c r="B217" i="5" s="1"/>
  <c r="D120" i="5"/>
  <c r="L122" i="5" s="1"/>
  <c r="H504" i="5"/>
  <c r="T225" i="5"/>
  <c r="G404" i="5"/>
  <c r="I504" i="5"/>
  <c r="L408" i="5" l="1"/>
  <c r="M408" i="5"/>
  <c r="L414" i="5"/>
  <c r="C561" i="5"/>
  <c r="E414" i="5"/>
  <c r="M414" i="5" s="1"/>
  <c r="K509" i="5"/>
  <c r="J499" i="5"/>
  <c r="J489" i="5"/>
  <c r="H404" i="5"/>
  <c r="J509" i="5"/>
  <c r="K489" i="5"/>
  <c r="E68" i="5"/>
  <c r="E70" i="5" s="1"/>
  <c r="B67" i="5"/>
  <c r="B69" i="5" s="1"/>
  <c r="B214" i="5"/>
  <c r="B216" i="5" s="1"/>
  <c r="K499" i="5"/>
  <c r="B82" i="5"/>
  <c r="B84" i="5" s="1"/>
  <c r="K504" i="5"/>
  <c r="J504" i="5"/>
  <c r="P126" i="5"/>
  <c r="K494" i="5"/>
  <c r="J494" i="5"/>
  <c r="AG11" i="2" l="1"/>
  <c r="Y22" i="2" l="1"/>
  <c r="Y21" i="2"/>
  <c r="Y23" i="2"/>
  <c r="Y37" i="2"/>
  <c r="AG37" i="2"/>
  <c r="Y38" i="2"/>
  <c r="AG38" i="2"/>
  <c r="AG40" i="2"/>
  <c r="Y41" i="2"/>
  <c r="X43" i="2"/>
  <c r="Y43" i="2" s="1"/>
  <c r="AG43" i="2"/>
  <c r="X44" i="2"/>
  <c r="Y44" i="2" s="1"/>
  <c r="AG44" i="2"/>
  <c r="X45" i="2"/>
  <c r="Y45" i="2" s="1"/>
  <c r="AG45" i="2"/>
  <c r="Y56" i="2"/>
  <c r="Y59" i="2"/>
  <c r="Y57" i="2"/>
  <c r="Y62" i="2"/>
  <c r="Y63" i="2"/>
  <c r="Y61" i="2"/>
  <c r="Y64" i="2"/>
  <c r="AG64" i="2"/>
  <c r="Y65" i="2"/>
  <c r="AG6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tc={6DCE3361-AD61-4EA3-A498-E5814C150232}</author>
  </authors>
  <commentList>
    <comment ref="D810" authorId="0" shapeId="0" xr:uid="{6DCE3361-AD61-4EA3-A498-E5814C150232}">
      <text>
        <t>[Threaded comment]
Your version of Excel allows you to read this threaded comment; however, any edits to it will get removed if the file is opened in a newer version of Excel. Learn more: https://go.microsoft.com/fwlink/?linkid=870924
Comment:
    Obtained this from age categories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tc={E7048C25-104E-4675-A95C-E812B6DD6BF4}</author>
    <author>tc={2F62E598-90C6-4D82-AB67-B976649E5C79}</author>
    <author>tc={783D4DD9-BAF3-4346-92DB-B69617C5AFF1}</author>
    <author>tc={08F9D07E-6013-4A64-82E7-E46D2826F100}</author>
    <author>tc={268C0D53-D6A6-4E59-9995-8C6ED708B105}</author>
    <author>tc={60996FA8-6F37-421F-B95D-D8A8C1756904}</author>
    <author>tc={00AE32C4-A663-4924-8E09-D8EDE602FF41}</author>
    <author>tc={26ACDBED-0C6B-4550-B980-9FAA7C55912F}</author>
    <author>tc={AC77D66F-1131-46D6-954F-3057C388631F}</author>
    <author>tc={23EC45BB-2A6C-470B-B122-18F439A77256}</author>
    <author>tc={E9DD9389-3E4B-4E11-9CFE-EB848A1C366F}</author>
    <author>tc={6CCA96BB-0492-4CE9-A7A3-1DE26D162E72}</author>
    <author>tc={7C7A7845-4366-469B-BDB6-6D0B5EAB079B}</author>
    <author>tc={6BF8184B-F413-4968-B7A2-7ADC4C40D5FE}</author>
    <author>tc={2505E3AC-1117-41A4-916B-0B9B5D660282}</author>
    <author>tc={0E44EE6D-0E3B-45F7-9E3F-6086D8C486BA}</author>
    <author>tc={23D7EA81-BFCD-467E-94B5-A54653D2C5CD}</author>
    <author>tc={4FB0F7CB-4DF4-4F00-8FB9-634FB5F982B8}</author>
    <author>tc={8AFA5A60-6803-4BF2-8EC4-491B4294CE2A}</author>
    <author>tc={E5910962-5335-4F21-98EF-C50B25548BD2}</author>
    <author>tc={C8B1EC24-226A-4B25-BF9D-A51656A2BD48}</author>
    <author>tc={333074B8-C742-4F1E-BFFB-C0FD5A9B92AF}</author>
    <author>tc={7CB44EE9-04F4-4FCA-AEF8-A0747F482A3F}</author>
    <author>tc={1DFEC95D-2449-4CF4-97F8-3FE295507E35}</author>
    <author>tc={3F848E23-466B-433C-9D39-8DC6805B9F43}</author>
    <author>tc={C2DC8A4E-96AA-4B63-B9FC-261340366AA2}</author>
    <author>tc={39F75F9A-B0BD-44CE-AA71-2C25004E9AB2}</author>
    <author>tc={8C56B44F-0E25-4292-8530-70C4C752E664}</author>
    <author>tc={272722AB-BFD6-4E47-885F-3A408651007A}</author>
    <author>tc={C6A3C46C-D9D4-493E-91FE-2A105DFD7367}</author>
    <author>tc={1724CFE5-D9AF-465C-9434-CDEE007AE956}</author>
    <author>tc={07191854-3C78-4EC4-91C6-EB7FDC9FB0E3}</author>
    <author>tc={08C2B59B-DF64-49FC-8A4E-6667F981FD8E}</author>
    <author>tc={9C209932-4CC4-4888-8100-6D51328DE6CF}</author>
    <author>tc={F60BA1D9-D165-406A-8871-6471F05013DE}</author>
    <author>tc={4AF883E9-1F14-41A8-98B7-E12B73AF90E4}</author>
    <author>tc={F057F0C0-6807-4B7D-8871-39A61CC352AB}</author>
    <author>tc={C9C55F17-9254-449F-BF62-2803D1AAFFBD}</author>
    <author>tc={4B411E3A-1949-49B5-A4CB-61E463DFB246}</author>
    <author>tc={F0944CA9-9BE7-4EFF-B4B6-D4248B96DDCC}</author>
    <author>tc={806CC653-16CF-43C7-B7EC-CAB24A6A956B}</author>
    <author>tc={A17B5DE1-6AC4-4699-8638-41699F4303F0}</author>
    <author>tc={19DD509B-1DE3-4DCF-8609-00B568FD5AF1}</author>
    <author>tc={AE26437B-975F-468A-AB79-44694509EC21}</author>
    <author>tc={A4327D0F-164E-4B4B-9E9F-6564D4D9041E}</author>
    <author>tc={71C09272-07E0-4735-8F77-3D3C6C7A6F0C}</author>
    <author>tc={8B2AD853-4C6B-446D-BF76-705C253CD10F}</author>
    <author>tc={0852DFBD-7D94-444D-B31D-3EB7E5C809BC}</author>
    <author>tc={69575B46-4FCC-4E52-8468-112EE5CAA9ED}</author>
    <author>tc={81E82A76-0FA1-43D1-A84A-30C02B6EEA5B}</author>
    <author>tc={CC99E789-60B1-4CB2-AC4C-0AC254776FC2}</author>
    <author>tc={10E691B3-019A-4075-B492-D18039FE3B35}</author>
    <author>tc={330D4F01-E75A-4879-A6EB-7C700290A822}</author>
    <author>tc={69E802A0-4674-4B5A-BEC0-3159CD794188}</author>
    <author>tc={A28729E4-4706-46C6-9AC2-541414A5858E}</author>
    <author>tc={7371A2D9-81CF-4892-BCBC-7385D39FF4F3}</author>
    <author>tc={179FB91D-0BDD-4010-A24A-5716FA68845B}</author>
    <author>tc={83CC3671-6338-4CD1-ABD8-4C9EC9003E41}</author>
    <author>tc={0E867546-6B89-4EFC-B072-7637D2BE57A1}</author>
    <author>tc={F62C4C7A-B342-40B1-A7EC-4AF2916C68F8}</author>
    <author>tc={C11FE7A7-D031-49C0-ADEC-B47D7669289D}</author>
    <author>tc={50266D17-386A-4430-B8C7-4AE92F4A0FAF}</author>
    <author>tc={718E3FE0-22D4-4B60-BBB5-EA32B09DF523}</author>
    <author>tc={28C9B2F3-DF82-4E28-B8C0-D173D974E913}</author>
    <author>tc={0946F756-4276-44D4-8844-6ABB166ECE9D}</author>
    <author>tc={C368065E-AA96-48C5-A11F-C1A7A5488121}</author>
    <author>tc={FEE68094-101A-4FD0-A2E1-8954A3CC7A3A}</author>
    <author>tc={914EC8C3-060D-4CAD-AEEA-7C21592D51A2}</author>
    <author>tc={984A2285-FB9F-47C8-9AB5-E3FDB43CBA40}</author>
    <author>tc={36397AA6-56E0-46F1-9B8F-7D52A57FE877}</author>
    <author>tc={E1F1F51B-D31C-40CE-9003-090022DA1F3F}</author>
    <author>tc={AD05DAB0-96EB-46C4-A494-3590B72D93C0}</author>
    <author>tc={78811E3F-1BD4-4444-A2F9-61A86B9953C4}</author>
    <author>tc={FF98206A-1D75-436B-A6F0-08D34EE6EADC}</author>
    <author>tc={99FBD064-261C-4D8D-8E7B-EC39E3D9F21A}</author>
    <author>tc={ABC579BB-7A61-4C72-8C98-464E620A5425}</author>
    <author>tc={83706142-C721-4F0D-8486-433B70091F83}</author>
    <author>tc={75153904-AD2A-40EF-BE97-9FAA4372C4E8}</author>
    <author>tc={682E7899-6D49-4264-97E8-2F9E5750DC33}</author>
    <author>tc={6F98FB53-CD34-4AA8-A4DA-233DCFFB26A2}</author>
    <author>tc={2CFEB513-2235-44D1-9C93-6FCB9D71AC21}</author>
    <author>tc={944D79C0-098D-439A-901A-018319852B86}</author>
    <author>tc={4AC71967-57A3-4BB7-83B1-3FF960AB9669}</author>
    <author>tc={52072F73-138F-4658-B4D8-E02C95434F2C}</author>
    <author>tc={CC541DFE-7CBF-49B5-B47E-E5F7D65C5FDC}</author>
    <author>tc={2ABF514E-9BDC-4338-8083-E094BCFF08C4}</author>
    <author>tc={75EA599B-5FE5-47BE-96F7-EB617C9BF1FB}</author>
    <author>tc={3FA30B4F-FD4F-45B0-8FB4-B2CE232830F3}</author>
    <author>tc={964198D4-20FF-4B17-B595-386A40159452}</author>
    <author>tc={90B08310-3F45-43C4-806B-BEAB325E5D41}</author>
    <author>tc={20D8FA7C-CB3D-4463-8546-D91D0C72831A}</author>
    <author>tc={B35488E5-F97B-484B-B844-8D32ADF1B9C9}</author>
    <author>tc={A0BE469D-FFAF-4336-B710-DEE9229B758F}</author>
    <author>tc={769E4C33-AEE9-4213-A50F-BC9A11DED19A}</author>
    <author>tc={B340D370-DD42-45C2-99F1-F392C636C507}</author>
    <author>tc={8F037DF1-D3F6-4675-B321-9444B3086129}</author>
    <author>tc={16B3F7F6-45FC-4058-87A4-8C65D2C81A62}</author>
    <author>tc={39113FCF-CD56-4E26-92B6-BE77DCA66775}</author>
    <author>tc={A9D7F15F-BE27-46D2-AD8B-80D032ABAF56}</author>
    <author>tc={259EC1F6-3229-4043-BBD1-D170A8630285}</author>
    <author>tc={DFFEADBE-C45A-440E-ACB5-5C739F26F7FD}</author>
    <author>tc={77278C7A-E665-495E-9F77-ECFB90597AB7}</author>
    <author>tc={99FE3017-B94D-432B-AB3D-6B1AF38DC340}</author>
    <author>tc={51F722E9-D657-43F9-B1B5-C75900E89205}</author>
    <author>tc={2DDE2D8B-9124-46BC-81BB-9E8251479CD5}</author>
    <author>tc={20A08E17-0B0D-4A12-974C-5453A4E993A5}</author>
    <author>tc={B73F9E5B-1C73-4B06-8D5D-A5FB2FD3C350}</author>
    <author>tc={FBFDA73D-E7D3-4EC2-880E-BEF25D9F458C}</author>
    <author>tc={361FD7F5-4BCC-4ABF-AE1C-F5915D30691A}</author>
    <author>tc={53825F4D-C694-47F3-8AC0-704E8F928969}</author>
    <author>tc={55074CAC-16B6-4D2E-A801-8AFC47EEF139}</author>
    <author>tc={C2489932-2121-4732-B8D3-FA5EA84519B4}</author>
    <author>tc={3EECF707-C777-46A3-B5EA-61F7922E147B}</author>
    <author>tc={77BC194E-FDB5-46DC-AA61-55B0418E3CB3}</author>
    <author>tc={85C302E1-2C1C-46F9-B7A0-FABE6768C61C}</author>
    <author>tc={1CEAAF1E-B41A-4566-8060-116802F4463D}</author>
    <author>tc={53A7E680-F8BF-4EC3-AE4D-BFA1F5738B38}</author>
    <author>tc={87331448-9FF2-4735-A1DE-DDAC8176DA6A}</author>
    <author>tc={0407986C-6552-4436-87DF-83BF9B64F034}</author>
    <author>tc={F1DDB870-5A92-4665-AE17-30CCBEB95F61}</author>
    <author>tc={A91EA91B-AED3-4AAF-BE73-8AED5A5BABDA}</author>
    <author>tc={64222D56-E2E3-42C3-BEAD-BD567EF36D2D}</author>
    <author>tc={1F504642-1FF8-4368-A3FB-C6AF705CD06C}</author>
    <author>tc={740530F5-1E44-4EC9-8957-0A37537A8910}</author>
    <author>tc={F8365229-FDA6-445E-A511-CA9DA0302956}</author>
    <author>tc={1ECF3806-6C46-49A6-BC49-D27206E7968F}</author>
    <author>tc={4BAFCA35-A9E5-45DB-8CA9-5E776224C5CA}</author>
    <author>tc={3A0903AB-7DEC-4CC9-A9A4-43918881D16A}</author>
    <author>tc={15FE056E-E24B-4EC4-B2DD-C78E40AF518D}</author>
    <author>tc={E02D1C30-72C5-4266-B22C-1ED76C9B5F67}</author>
    <author>tc={41287443-1D31-4765-90F9-3B0357988A4D}</author>
    <author>tc={C8406371-FB19-49AD-8309-9663317975D6}</author>
    <author>tc={B6B6C9E8-8507-48AC-B932-985C8A4B8A8E}</author>
    <author>tc={4A5323FA-F003-433B-8E5A-975205043F63}</author>
    <author>tc={A192387C-B572-4272-B8F0-840E58F0843A}</author>
    <author>tc={A1C9E7CC-B5DA-4100-939F-CA2D96109959}</author>
    <author>tc={E3C49439-4CE0-4914-8A05-C197153AB85E}</author>
    <author>tc={1528D086-EBFF-425B-8127-14D43A4FCA75}</author>
    <author>tc={8ACDB039-CDBB-4733-A5E0-9AA0C2B17159}</author>
    <author>tc={11FA9E90-3515-425E-AD92-9BF9BDD20D6E}</author>
    <author>tc={04074DF0-EF25-4E4E-8FEA-DBE7FE336D9B}</author>
    <author>tc={D20FB174-7529-4C30-B39B-C75E6854A887}</author>
    <author>tc={695837DB-5992-47E9-9D4F-284399F1186A}</author>
    <author>tc={56079877-A47D-4CCF-97DB-06130DFBDB1B}</author>
    <author>tc={827AE5A7-61F8-4BE3-B383-A8EEBC7A1471}</author>
    <author>tc={9FB4E436-2C8C-4481-971F-5E116E7BE7E8}</author>
    <author>tc={3D586203-9826-4304-9589-565DC5AFFA87}</author>
    <author>tc={59812407-2859-4D35-BAEE-4BDDED96B821}</author>
    <author>tc={C4A977DA-FF80-4230-A796-514A45144CAB}</author>
    <author>tc={75DB227A-C8B2-44A8-908E-34650ACBEA70}</author>
    <author>tc={F5DE1795-3C7A-4348-8CA3-F5CFA09F03A1}</author>
    <author>tc={4AA17C25-1DE5-4E79-A212-C748DB16EBD2}</author>
    <author>tc={1BC3CFE0-F3C0-49A9-99F4-D9B5A2CB01DD}</author>
    <author>tc={C70356AC-C1B6-4DD9-A6F9-56EFE935AACB}</author>
    <author>tc={4456DB79-8903-4795-96BE-9C03CE7D33BB}</author>
    <author>tc={D829F8F4-6195-4F19-8103-04069C2B2E9E}</author>
    <author>tc={58E43EF2-63F1-47B2-96FC-C274232BDF95}</author>
    <author>tc={2BAB1C08-9271-48E8-B6EA-22009961F54A}</author>
    <author>tc={50BE63C0-2CDC-484C-BD4D-C31C54D2E2E9}</author>
    <author>tc={CE419B0D-F3F4-4AAC-A8D3-97E0D4EEF82D}</author>
    <author>tc={8C1B2472-79C1-4807-A2C1-F233EDAE3F0F}</author>
    <author>tc={432F2EE7-FB71-4F6B-B4E6-EEA7C6D923F0}</author>
    <author>tc={C2866890-0D40-4B1C-B81E-81FDA2BE63F4}</author>
    <author>tc={2087F5FD-9E78-4973-BC9C-24BEE706695D}</author>
    <author>tc={AE0B9FF2-A8F9-44EE-96BF-A77B61D12DA8}</author>
    <author>tc={34CB3925-8D93-473E-AE72-BB45AB11435B}</author>
    <author>tc={6B0D38DB-8812-4147-8FA9-F01465132932}</author>
    <author>tc={C9B78CB0-D806-48C0-AD9B-84EF2C8A0988}</author>
    <author>tc={D67639CC-A123-41EA-9BF6-0A796AAF68CD}</author>
    <author>tc={B209DF1E-B64C-4C81-A700-7874271C29CF}</author>
    <author>tc={8D8F90F0-9297-401B-A1D6-EEEB81526CF3}</author>
    <author>tc={DEA8A383-C541-4D0B-A78F-12036AAE8512}</author>
    <author>tc={429544E2-8BD1-4B63-84B5-32310E79335E}</author>
    <author>tc={E2F8C200-3BCB-47A9-A2DB-6C3F846B8735}</author>
    <author>tc={71A1B3B3-D0CD-4788-AC40-16B8FF7AC978}</author>
    <author>tc={CA2CEE52-4153-4CA5-BF2A-5361EBF0964F}</author>
    <author>tc={65FBC01D-02C4-4C16-9686-9D9937977593}</author>
    <author>tc={9D9176CC-8229-4E90-98FB-5D639D13FE3B}</author>
    <author>tc={274AF3CE-36B7-4CFF-AC14-5C73AEED4EFC}</author>
    <author>tc={60E9D400-6CF3-41EA-B53B-47CFAE4CEDBC}</author>
    <author>tc={DB4B3011-40BD-4C09-A179-9EF77958AB82}</author>
    <author>tc={8E842826-8B10-4769-824D-EBFD3A1A91C1}</author>
    <author>tc={4A687737-06EC-429D-9805-0365E0A2BF90}</author>
    <author>tc={1CE82485-FDD1-4461-8069-AB9D91225EEB}</author>
    <author>tc={99A903AC-01DA-4D9A-BAA8-D8D30BFD3546}</author>
    <author>tc={D6FD9F89-6095-4830-A6DC-EA66CDF20738}</author>
    <author>tc={D465EF16-D869-4680-90FE-93E80DA3CB94}</author>
    <author>tc={17DD3B48-E264-469A-A534-3E2ABF624998}</author>
    <author>tc={58AB08CE-BBD5-4288-981D-89C926AC4813}</author>
    <author>tc={47C4911D-2F75-466A-B4BA-3C22D2A8ABBD}</author>
    <author>tc={940C0823-BD4D-42B3-AA35-B9392384C51E}</author>
    <author>tc={CB69214B-C9FC-492E-B5C5-3FE2EC0C7E02}</author>
    <author>tc={12E2840F-7295-4957-AEF7-13C79B107C18}</author>
    <author>tc={6077D12D-0822-4C1B-A082-34FDBDF12D7D}</author>
    <author>tc={ADBAF148-ADD0-44C3-AF0B-C5C6FC231511}</author>
    <author>tc={87CD2E86-126F-4730-B08A-00696707FC6D}</author>
    <author>tc={B4CAA7A8-6B34-4F0A-A761-6AAA51F51990}</author>
    <author>tc={46F5FAEE-282E-4AC9-BAE4-D56D2B5122BE}</author>
    <author>tc={C247FFCD-4359-4DD0-B9CB-ED39232E53B7}</author>
    <author>tc={188C9F03-2E38-46F7-8960-661343A7455B}</author>
    <author>tc={BCCF40DB-6D92-4C6E-9343-3CFAE9FAD913}</author>
    <author>tc={B68461BF-A723-421C-82FF-83EB19F23351}</author>
    <author>tc={A6F03793-B884-4A97-A831-339F6EAA4EC5}</author>
    <author>tc={27F79CB6-51AC-4DF1-84B4-8DDE8BDCF5D9}</author>
    <author>tc={FC96265B-1784-4414-A44D-8FF495448F25}</author>
    <author>tc={3FC56194-C8C0-4C5B-9B4F-885AFC6B3104}</author>
    <author>tc={B4B5594F-3597-4CB9-98BA-2DF7AE10357D}</author>
    <author>tc={11FCD21A-07F0-4BD4-B5A8-66F97F50990E}</author>
    <author>tc={238EDB2C-16AF-4812-AD1B-6A07F1561048}</author>
    <author>tc={E9D7F8BB-47CB-4D0B-B77C-B1AB387ABAC0}</author>
    <author>tc={397E0321-6508-471E-8C40-2D5D16A0D0DD}</author>
    <author>tc={586E2BF3-6B79-4E45-9DD6-696F2DA503A8}</author>
    <author>tc={4C5CBF93-98BA-4F0A-A373-2ABD7A4802AE}</author>
    <author>tc={EAC91F3F-7C39-46E7-A671-022EE9C432E8}</author>
    <author>tc={D5246593-83D9-4F63-AF84-0C07CCEA2FD2}</author>
    <author>tc={8CDBE460-13EB-43C2-A98F-F69542CBDF14}</author>
    <author>tc={39D94DCB-4EA2-4EAC-BC5D-638D944E5484}</author>
    <author>tc={A7F673B4-3951-475E-8A2D-ECE448A607F4}</author>
    <author>tc={A1169F2E-CCC0-441D-9D11-EC542DC6F8CC}</author>
    <author>tc={980DB0A1-3ECF-43D0-94E0-B26E593CBB30}</author>
    <author>tc={D4214686-9E59-4893-8E65-E4AAC2797F6F}</author>
    <author>tc={E29618A0-227F-458C-B134-672C61D3445E}</author>
    <author>tc={C86BBED3-ABFD-4C4E-B9A8-FD3FC798F331}</author>
    <author>tc={57A4AA0E-4A97-4E21-A76F-91FC0EDBCA5D}</author>
    <author>tc={35E04418-A688-4190-B0E9-847AB8C8753D}</author>
    <author>tc={1A06BBC8-99D8-4072-A7BE-6D0B18CD8C6C}</author>
    <author>tc={D46CDA10-2000-41D2-99D4-8E0602382057}</author>
    <author>tc={9C562C76-0635-44F8-BDEE-2B3389525D6B}</author>
    <author>tc={B67BE7C5-C1BD-4C45-B591-19AC259A0310}</author>
    <author>tc={3858B61E-80A5-4217-B77A-CCC9D8BFE6FA}</author>
    <author>tc={292A856B-4CE6-4BF6-A744-0ED052ACDB39}</author>
    <author>tc={A538866C-89A5-473E-8F3B-CDD1BDBE2EC7}</author>
    <author>tc={0BEB4F66-44F8-452F-A77E-C13372461512}</author>
    <author>tc={55519A8B-66F1-4460-AD6C-EFBAD088DA2C}</author>
    <author>tc={5BC8F462-9D70-4383-82B3-1773101CCA2A}</author>
    <author>tc={CC904001-032B-4B72-B329-5D6E2173ADEE}</author>
    <author>tc={A74F3F70-F7D7-48F9-A871-46F055A588F2}</author>
    <author>tc={789FF504-3E8E-486F-97E3-8B97C7BDF7CD}</author>
    <author>tc={F9CD37FE-3B73-48E9-8D33-F153AB42EC13}</author>
    <author>tc={FAD2C12C-D163-4465-B27A-15F1F4A037DF}</author>
    <author>tc={82578D19-7394-4157-8AD4-0B3777DC7B48}</author>
    <author>tc={02D548A8-CEC1-42B7-8CC9-BFF35A1AEEF0}</author>
  </authors>
  <commentList>
    <comment ref="A2" authorId="0" shapeId="0" xr:uid="{E7048C25-104E-4675-A95C-E812B6DD6BF4}">
      <text>
        <t>[Threaded comment]
Your version of Excel allows you to read this threaded comment; however, any edits to it will get removed if the file is opened in a newer version of Excel. Learn more: https://go.microsoft.com/fwlink/?linkid=870924
Comment:
    ALL TGW - is that allowed in the review??
Reply:
    Strange this study isnt in the MSM/TGW review</t>
      </text>
    </comment>
    <comment ref="W2" authorId="1" shapeId="0" xr:uid="{2F62E598-90C6-4D82-AB67-B976649E5C79}">
      <text>
        <t>[Threaded comment]
Your version of Excel allows you to read this threaded comment; however, any edits to it will get removed if the file is opened in a newer version of Excel. Learn more: https://go.microsoft.com/fwlink/?linkid=870924
Comment:
    0.7424</t>
      </text>
    </comment>
    <comment ref="AA2" authorId="2" shapeId="0" xr:uid="{783D4DD9-BAF3-4346-92DB-B69617C5AFF1}">
      <text>
        <t>[Threaded comment]
Your version of Excel allows you to read this threaded comment; however, any edits to it will get removed if the file is opened in a newer version of Excel. Learn more: https://go.microsoft.com/fwlink/?linkid=870924
Comment:
    Ex-
posure to violence was measured through two questions: re-
spondents were asked if in the last 12 months they had been
(1) beaten; and (2) forced to have sex against their will (rape).
Respondents answering yes to either question were coded as
1 and the remaining respondents were coded as 0.
Reply:
    Beaten or raped in past year</t>
      </text>
    </comment>
    <comment ref="AB2" authorId="3" shapeId="0" xr:uid="{08F9D07E-6013-4A64-82E7-E46D2826F100}">
      <text>
        <t>[Threaded comment]
Your version of Excel allows you to read this threaded comment; however, any edits to it will get removed if the file is opened in a newer version of Excel. Learn more: https://go.microsoft.com/fwlink/?linkid=870924
Comment:
    Ex-
posure to violence was measured through two questions: re-
spondents were asked if in the last 12 months they had been
(1) beaten; and (2) forced to have sex against their will (rape).
Respondents answering yes to either question were coded as
1 and the remaining respondents were coded as 0.
Reply:
    Beaten/raped in past year</t>
      </text>
    </comment>
    <comment ref="AT2" authorId="4" shapeId="0" xr:uid="{268C0D53-D6A6-4E59-9995-8C6ED708B105}">
      <text>
        <t xml:space="preserve">[Threaded comment]
Your version of Excel allows you to read this threaded comment; however, any edits to it will get removed if the file is opened in a newer version of Excel. Learn more: https://go.microsoft.com/fwlink/?linkid=870924
Comment:
    1.185
</t>
      </text>
    </comment>
    <comment ref="AU2" authorId="5" shapeId="0" xr:uid="{60996FA8-6F37-421F-B95D-D8A8C1756904}">
      <text>
        <t>[Threaded comment]
Your version of Excel allows you to read this threaded comment; however, any edits to it will get removed if the file is opened in a newer version of Excel. Learn more: https://go.microsoft.com/fwlink/?linkid=870924
Comment:
    8.388</t>
      </text>
    </comment>
    <comment ref="AA4" authorId="6" shapeId="0" xr:uid="{00AE32C4-A663-4924-8E09-D8EDE602FF41}">
      <text>
        <t>[Threaded comment]
Your version of Excel allows you to read this threaded comment; however, any edits to it will get removed if the file is opened in a newer version of Excel. Learn more: https://go.microsoft.com/fwlink/?linkid=870924
Comment:
    Any emotional intimate partner violence</t>
      </text>
    </comment>
    <comment ref="AB4" authorId="7" shapeId="0" xr:uid="{26ACDBED-0C6B-4550-B980-9FAA7C55912F}">
      <text>
        <t>[Threaded comment]
Your version of Excel allows you to read this threaded comment; however, any edits to it will get removed if the file is opened in a newer version of Excel. Learn more: https://go.microsoft.com/fwlink/?linkid=870924
Comment:
    Any emotional intimate partner violence
Reply:
    I use perpetrator to show IPV</t>
      </text>
    </comment>
    <comment ref="AW11" authorId="8" shapeId="0" xr:uid="{AC77D66F-1131-46D6-954F-3057C388631F}">
      <text>
        <t>[Threaded comment]
Your version of Excel allows you to read this threaded comment; however, any edits to it will get removed if the file is opened in a newer version of Excel. Learn more: https://go.microsoft.com/fwlink/?linkid=870924
Comment:
    3.48</t>
      </text>
    </comment>
    <comment ref="AG12" authorId="9" shapeId="0" xr:uid="{23EC45BB-2A6C-470B-B122-18F439A77256}">
      <text>
        <t>[Threaded comment]
Your version of Excel allows you to read this threaded comment; however, any edits to it will get removed if the file is opened in a newer version of Excel. Learn more: https://go.microsoft.com/fwlink/?linkid=870924
Comment:
    19.5 is HIUV prevalence among exposed.
Prevalence of exposure is 22.3% = 1356/(1356+4729)</t>
      </text>
    </comment>
    <comment ref="AW12" authorId="10" shapeId="0" xr:uid="{E9DD9389-3E4B-4E11-9CFE-EB848A1C366F}">
      <text>
        <t>[Threaded comment]
Your version of Excel allows you to read this threaded comment; however, any edits to it will get removed if the file is opened in a newer version of Excel. Learn more: https://go.microsoft.com/fwlink/?linkid=870924
Comment:
    1.07 (or 1.06504307)
Reply:
    Recalculated as 1.06</t>
      </text>
    </comment>
    <comment ref="M13" authorId="11" shapeId="0" xr:uid="{6CCA96BB-0492-4CE9-A7A3-1DE26D162E72}">
      <text>
        <t>[Threaded comment]
Your version of Excel allows you to read this threaded comment; however, any edits to it will get removed if the file is opened in a newer version of Excel. Learn more: https://go.microsoft.com/fwlink/?linkid=870924
Comment:
    articipants in this study
were initially recruited at the three private or public
health centres oﬀering adapted healthcare (AHC) for
FSW that existed at that time in Conakry.</t>
      </text>
    </comment>
    <comment ref="Y13" authorId="12" shapeId="0" xr:uid="{7C7A7845-4366-469B-BDB6-6D0B5EAB079B}">
      <text>
        <t>[Threaded comment]
Your version of Excel allows you to read this threaded comment; however, any edits to it will get removed if the file is opened in a newer version of Excel. Learn more: https://go.microsoft.com/fwlink/?linkid=870924
Comment:
    2 with missing data. 78/221 = 35.3%</t>
      </text>
    </comment>
    <comment ref="AG13" authorId="13" shapeId="0" xr:uid="{6BF8184B-F413-4968-B7A2-7ADC4C40D5FE}">
      <text>
        <t>[Threaded comment]
Your version of Excel allows you to read this threaded comment; however, any edits to it will get removed if the file is opened in a newer version of Excel. Learn more: https://go.microsoft.com/fwlink/?linkid=870924
Comment:
    53/(53+169) = 0.239</t>
      </text>
    </comment>
    <comment ref="P14" authorId="14" shapeId="0" xr:uid="{2505E3AC-1117-41A4-916B-0B9B5D660282}">
      <text>
        <t>[Threaded comment]
Your version of Excel allows you to read this threaded comment; however, any edits to it will get removed if the file is opened in a newer version of Excel. Learn more: https://go.microsoft.com/fwlink/?linkid=870924
Comment:
    Central Asia? Unsure of classification system used but check on that</t>
      </text>
    </comment>
    <comment ref="X14" authorId="15" shapeId="0" xr:uid="{0E44EE6D-0E3B-45F7-9E3F-6086D8C486BA}">
      <text>
        <t>[Threaded comment]
Your version of Excel allows you to read this threaded comment; however, any edits to it will get removed if the file is opened in a newer version of Excel. Learn more: https://go.microsoft.com/fwlink/?linkid=870924
Comment:
    Unsure how got this?</t>
      </text>
    </comment>
    <comment ref="Y14" authorId="16" shapeId="0" xr:uid="{23D7EA81-BFCD-467E-94B5-A54653D2C5CD}">
      <text>
        <t>[Threaded comment]
Your version of Excel allows you to read this threaded comment; however, any edits to it will get removed if the file is opened in a newer version of Excel. Learn more: https://go.microsoft.com/fwlink/?linkid=870924
Comment:
    would use HIV prevalence of 2.3% as reported in paper</t>
      </text>
    </comment>
    <comment ref="AA14" authorId="17" shapeId="0" xr:uid="{4FB0F7CB-4DF4-4F00-8FB9-634FB5F982B8}">
      <text>
        <t>[Threaded comment]
Your version of Excel allows you to read this threaded comment; however, any edits to it will get removed if the file is opened in a newer version of Excel. Learn more: https://go.microsoft.com/fwlink/?linkid=870924
Comment:
    In methods "*Experience of violence, stigma and discrimination*"
Reply:
    So should the classification be other?</t>
      </text>
    </comment>
    <comment ref="AG14" authorId="18" shapeId="0" xr:uid="{8AFA5A60-6803-4BF2-8EC4-491B4294CE2A}">
      <text>
        <t>[Threaded comment]
Your version of Excel allows you to read this threaded comment; however, any edits to it will get removed if the file is opened in a newer version of Excel. Learn more: https://go.microsoft.com/fwlink/?linkid=870924
Comment:
    From table 1 it is 0.611</t>
      </text>
    </comment>
    <comment ref="M15" authorId="19" shapeId="0" xr:uid="{E5910962-5335-4F21-98EF-C50B25548BD2}">
      <text>
        <t>[Threaded comment]
Your version of Excel allows you to read this threaded comment; however, any edits to it will get removed if the file is opened in a newer version of Excel. Learn more: https://go.microsoft.com/fwlink/?linkid=870924
Comment:
    According to methods in appendix miltiple methods used: 
The rationale for district selection has
been described extensively by Saidel et al,
3 with standard cluster sampling, time-location cluster
sampling or respondent-driven sampling used for FSW selection, depending on the local sex work
typology (multiple sampling methods could be used within the same district)</t>
      </text>
    </comment>
    <comment ref="BF15" authorId="20" shapeId="0" xr:uid="{C8B1EC24-226A-4B25-BF9D-A51656A2BD48}">
      <text>
        <t>[Threaded comment]
Your version of Excel allows you to read this threaded comment; however, any edits to it will get removed if the file is opened in a newer version of Excel. Learn more: https://go.microsoft.com/fwlink/?linkid=870924
Comment:
    This could be extracted</t>
      </text>
    </comment>
    <comment ref="M16" authorId="21" shapeId="0" xr:uid="{333074B8-C742-4F1E-BFFB-C0FD5A9B92AF}">
      <text>
        <t>[Threaded comment]
Your version of Excel allows you to read this threaded comment; however, any edits to it will get removed if the file is opened in a newer version of Excel. Learn more: https://go.microsoft.com/fwlink/?linkid=870924
Comment:
    Systematic random sampling (supposedly)</t>
      </text>
    </comment>
    <comment ref="U17" authorId="22" shapeId="0" xr:uid="{7CB44EE9-04F4-4FCA-AEF8-A0747F482A3F}">
      <text>
        <t>[Threaded comment]
Your version of Excel allows you to read this threaded comment; however, any edits to it will get removed if the file is opened in a newer version of Excel. Learn more: https://go.microsoft.com/fwlink/?linkid=870924
Comment:
    Past month</t>
      </text>
    </comment>
    <comment ref="AC17" authorId="23" shapeId="0" xr:uid="{1DFEC95D-2449-4CF4-97F8-3FE295507E35}">
      <text>
        <t>[Threaded comment]
Your version of Excel allows you to read this threaded comment; however, any edits to it will get removed if the file is opened in a newer version of Excel. Learn more: https://go.microsoft.com/fwlink/?linkid=870924
Comment:
    Ever (Since starting sex work)</t>
      </text>
    </comment>
    <comment ref="AJ17" authorId="24" shapeId="0" xr:uid="{3F848E23-466B-433C-9D39-8DC6805B9F43}">
      <text>
        <t>[Threaded comment]
Your version of Excel allows you to read this threaded comment; however, any edits to it will get removed if the file is opened in a newer version of Excel. Learn more: https://go.microsoft.com/fwlink/?linkid=870924
Comment:
    HIV prevalent infection based on test results</t>
      </text>
    </comment>
    <comment ref="U18" authorId="25" shapeId="0" xr:uid="{C2DC8A4E-96AA-4B63-B9FC-261340366AA2}">
      <text>
        <t>[Threaded comment]
Your version of Excel allows you to read this threaded comment; however, any edits to it will get removed if the file is opened in a newer version of Excel. Learn more: https://go.microsoft.com/fwlink/?linkid=870924
Comment:
    Past month</t>
      </text>
    </comment>
    <comment ref="AN19" authorId="26" shapeId="0" xr:uid="{39F75F9A-B0BD-44CE-AA71-2C25004E9AB2}">
      <text>
        <t>[Threaded comment]
Your version of Excel allows you to read this threaded comment; however, any edits to it will get removed if the file is opened in a newer version of Excel. Learn more: https://go.microsoft.com/fwlink/?linkid=870924
Comment:
    HIV+Ve who Self-reported being on ART</t>
      </text>
    </comment>
    <comment ref="AN20" authorId="27" shapeId="0" xr:uid="{8C56B44F-0E25-4292-8530-70C4C752E664}">
      <text>
        <t>[Threaded comment]
Your version of Excel allows you to read this threaded comment; however, any edits to it will get removed if the file is opened in a newer version of Excel. Learn more: https://go.microsoft.com/fwlink/?linkid=870924
Comment:
    HIV+Ve who Self-reported being on ART</t>
      </text>
    </comment>
    <comment ref="AS22" authorId="28" shapeId="0" xr:uid="{272722AB-BFD6-4E47-885F-3A408651007A}">
      <text>
        <t>[Threaded comment]
Your version of Excel allows you to read this threaded comment; however, any edits to it will get removed if the file is opened in a newer version of Excel. Learn more: https://go.microsoft.com/fwlink/?linkid=870924
Comment:
    I get slightly different numbers; 0.96 (0.77-1.20)</t>
      </text>
    </comment>
    <comment ref="AW22" authorId="29" shapeId="0" xr:uid="{C6A3C46C-D9D4-493E-91FE-2A105DFD7367}">
      <text>
        <t>[Threaded comment]
Your version of Excel allows you to read this threaded comment; however, any edits to it will get removed if the file is opened in a newer version of Excel. Learn more: https://go.microsoft.com/fwlink/?linkid=870924
Comment:
    I get slightly different numbers; 0.96 (0.77-1.20)</t>
      </text>
    </comment>
    <comment ref="AG23" authorId="30" shapeId="0" xr:uid="{1724CFE5-D9AF-465C-9434-CDEE007AE956}">
      <text>
        <t>[Threaded comment]
Your version of Excel allows you to read this threaded comment; however, any edits to it will get removed if the file is opened in a newer version of Excel. Learn more: https://go.microsoft.com/fwlink/?linkid=870924
Comment:
    If being used to estimate % experiencing violence in paper then use 10.1% (433/4279)</t>
      </text>
    </comment>
    <comment ref="AG24" authorId="31" shapeId="0" xr:uid="{07191854-3C78-4EC4-91C6-EB7FDC9FB0E3}">
      <text>
        <t>[Threaded comment]
Your version of Excel allows you to read this threaded comment; however, any edits to it will get removed if the file is opened in a newer version of Excel. Learn more: https://go.microsoft.com/fwlink/?linkid=870924
Comment:
    In all, the prevalence of sexual violence was 24.8% (1059/4279).</t>
      </text>
    </comment>
    <comment ref="A28" authorId="32" shapeId="0" xr:uid="{08C2B59B-DF64-49FC-8A4E-6667F981FD8E}">
      <text>
        <t>[Threaded comment]
Your version of Excel allows you to read this threaded comment; however, any edits to it will get removed if the file is opened in a newer version of Excel. Learn more: https://go.microsoft.com/fwlink/?linkid=870924
Comment:
    From table 3 can also extract effect for ever testing</t>
      </text>
    </comment>
    <comment ref="AC28" authorId="33" shapeId="0" xr:uid="{9C209932-4CC4-4888-8100-6D51328DE6CF}">
      <text>
        <t>[Threaded comment]
Your version of Excel allows you to read this threaded comment; however, any edits to it will get removed if the file is opened in a newer version of Excel. Learn more: https://go.microsoft.com/fwlink/?linkid=870924
Comment:
    Past year</t>
      </text>
    </comment>
    <comment ref="A29" authorId="34" shapeId="0" xr:uid="{F60BA1D9-D165-406A-8871-6471F05013DE}">
      <text>
        <t>[Threaded comment]
Your version of Excel allows you to read this threaded comment; however, any edits to it will get removed if the file is opened in a newer version of Excel. Learn more: https://go.microsoft.com/fwlink/?linkid=870924
Comment:
    From table 3 can also extract effect for ever testing</t>
      </text>
    </comment>
    <comment ref="AC29" authorId="35" shapeId="0" xr:uid="{4AF883E9-1F14-41A8-98B7-E12B73AF90E4}">
      <text>
        <t>[Threaded comment]
Your version of Excel allows you to read this threaded comment; however, any edits to it will get removed if the file is opened in a newer version of Excel. Learn more: https://go.microsoft.com/fwlink/?linkid=870924
Comment:
    Past year</t>
      </text>
    </comment>
    <comment ref="Y30" authorId="36" shapeId="0" xr:uid="{F057F0C0-6807-4B7D-8871-39A61CC352AB}">
      <text>
        <t>[Threaded comment]
Your version of Excel allows you to read this threaded comment; however, any edits to it will get removed if the file is opened in a newer version of Excel. Learn more: https://go.microsoft.com/fwlink/?linkid=870924
Comment:
    8.2% for this study</t>
      </text>
    </comment>
    <comment ref="Y31" authorId="37" shapeId="0" xr:uid="{C9C55F17-9254-449F-BF62-2803D1AAFFBD}">
      <text>
        <t>[Threaded comment]
Your version of Excel allows you to read this threaded comment; however, any edits to it will get removed if the file is opened in a newer version of Excel. Learn more: https://go.microsoft.com/fwlink/?linkid=870924
Comment:
    8.2% for this study</t>
      </text>
    </comment>
    <comment ref="AB31" authorId="38" shapeId="0" xr:uid="{4B411E3A-1949-49B5-A4CB-61E463DFB246}">
      <text>
        <t>[Threaded comment]
Your version of Excel allows you to read this threaded comment; however, any edits to it will get removed if the file is opened in a newer version of Excel. Learn more: https://go.microsoft.com/fwlink/?linkid=870924
Comment:
    Domestic and workplace/community violence</t>
      </text>
    </comment>
    <comment ref="Y32" authorId="39" shapeId="0" xr:uid="{F0944CA9-9BE7-4EFF-B4B6-D4248B96DDCC}">
      <text>
        <t>[Threaded comment]
Your version of Excel allows you to read this threaded comment; however, any edits to it will get removed if the file is opened in a newer version of Excel. Learn more: https://go.microsoft.com/fwlink/?linkid=870924
Comment:
    8.2% for this study</t>
      </text>
    </comment>
    <comment ref="Y33" authorId="40" shapeId="0" xr:uid="{806CC653-16CF-43C7-B7EC-CAB24A6A956B}">
      <text>
        <t>[Threaded comment]
Your version of Excel allows you to read this threaded comment; however, any edits to it will get removed if the file is opened in a newer version of Excel. Learn more: https://go.microsoft.com/fwlink/?linkid=870924
Comment:
    8.2% for this study</t>
      </text>
    </comment>
    <comment ref="AG33" authorId="41" shapeId="0" xr:uid="{A17B5DE1-6AC4-4699-8638-41699F4303F0}">
      <text>
        <t>[Threaded comment]
Your version of Excel allows you to read this threaded comment; however, any edits to it will get removed if the file is opened in a newer version of Excel. Learn more: https://go.microsoft.com/fwlink/?linkid=870924
Comment:
    0.334= 365/(365+727)</t>
      </text>
    </comment>
    <comment ref="A34" authorId="42" shapeId="0" xr:uid="{19DD509B-1DE3-4DCF-8609-00B568FD5AF1}">
      <text>
        <t>[Threaded comment]
Your version of Excel allows you to read this threaded comment; however, any edits to it will get removed if the file is opened in a newer version of Excel. Learn more: https://go.microsoft.com/fwlink/?linkid=870924
Comment:
    2018?</t>
      </text>
    </comment>
    <comment ref="D34" authorId="43" shapeId="0" xr:uid="{AE26437B-975F-468A-AB79-44694509EC21}">
      <text>
        <t>[Threaded comment]
Your version of Excel allows you to read this threaded comment; however, any edits to it will get removed if the file is opened in a newer version of Excel. Learn more: https://go.microsoft.com/fwlink/?linkid=870924
Comment:
    2018?</t>
      </text>
    </comment>
    <comment ref="F34" authorId="44" shapeId="0" xr:uid="{A4327D0F-164E-4B4B-9E9F-6564D4D9041E}">
      <text>
        <t>[Threaded comment]
Your version of Excel allows you to read this threaded comment; however, any edits to it will get removed if the file is opened in a newer version of Excel. Learn more: https://go.microsoft.com/fwlink/?linkid=870924
Comment:
    FALSE</t>
      </text>
    </comment>
    <comment ref="O34" authorId="45" shapeId="0" xr:uid="{71C09272-07E0-4735-8F77-3D3C6C7A6F0C}">
      <text>
        <t>[Threaded comment]
Your version of Excel allows you to read this threaded comment; however, any edits to it will get removed if the file is opened in a newer version of Excel. Learn more: https://go.microsoft.com/fwlink/?linkid=870924
Comment:
    Unknown?
Reply:
    It’s multi city</t>
      </text>
    </comment>
    <comment ref="Y34" authorId="46" shapeId="0" xr:uid="{8B2AD853-4C6B-446D-BF76-705C253CD10F}">
      <text>
        <t>[Threaded comment]
Your version of Excel allows you to read this threaded comment; however, any edits to it will get removed if the file is opened in a newer version of Excel. Learn more: https://go.microsoft.com/fwlink/?linkid=870924
Comment:
    69.6% N= 319 for this</t>
      </text>
    </comment>
    <comment ref="AG34" authorId="47" shapeId="0" xr:uid="{0852DFBD-7D94-444D-B31D-3EB7E5C809BC}">
      <text>
        <t>[Threaded comment]
Your version of Excel allows you to read this threaded comment; however, any edits to it will get removed if the file is opened in a newer version of Excel. Learn more: https://go.microsoft.com/fwlink/?linkid=870924
Comment:
    if this is used in pooling - then use RDS weighted estimate - 48.4%?</t>
      </text>
    </comment>
    <comment ref="AS34" authorId="48" shapeId="0" xr:uid="{69575B46-4FCC-4E52-8468-112EE5CAA9ED}">
      <text>
        <t>[Threaded comment]
Your version of Excel allows you to read this threaded comment; however, any edits to it will get removed if the file is opened in a newer version of Excel. Learn more: https://go.microsoft.com/fwlink/?linkid=870924
Comment:
    I get 1.09 (0.67-1.78)</t>
      </text>
    </comment>
    <comment ref="AW34" authorId="49" shapeId="0" xr:uid="{81E82A76-0FA1-43D1-A84A-30C02B6EEA5B}">
      <text>
        <t>[Threaded comment]
Your version of Excel allows you to read this threaded comment; however, any edits to it will get removed if the file is opened in a newer version of Excel. Learn more: https://go.microsoft.com/fwlink/?linkid=870924
Comment:
    I get 1.09 (0.67-1.78)</t>
      </text>
    </comment>
    <comment ref="A35" authorId="50" shapeId="0" xr:uid="{CC99E789-60B1-4CB2-AC4C-0AC254776FC2}">
      <text>
        <t>[Threaded comment]
Your version of Excel allows you to read this threaded comment; however, any edits to it will get removed if the file is opened in a newer version of Excel. Learn more: https://go.microsoft.com/fwlink/?linkid=870924
Comment:
    2018?</t>
      </text>
    </comment>
    <comment ref="D35" authorId="51" shapeId="0" xr:uid="{10E691B3-019A-4075-B492-D18039FE3B35}">
      <text>
        <t>[Threaded comment]
Your version of Excel allows you to read this threaded comment; however, any edits to it will get removed if the file is opened in a newer version of Excel. Learn more: https://go.microsoft.com/fwlink/?linkid=870924
Comment:
    2018?</t>
      </text>
    </comment>
    <comment ref="F35" authorId="52" shapeId="0" xr:uid="{330D4F01-E75A-4879-A6EB-7C700290A822}">
      <text>
        <t>[Threaded comment]
Your version of Excel allows you to read this threaded comment; however, any edits to it will get removed if the file is opened in a newer version of Excel. Learn more: https://go.microsoft.com/fwlink/?linkid=870924
Comment:
    FALSE</t>
      </text>
    </comment>
    <comment ref="Y35" authorId="53" shapeId="0" xr:uid="{69E802A0-4674-4B5A-BEC0-3159CD794188}">
      <text>
        <t>[Threaded comment]
Your version of Excel allows you to read this threaded comment; however, any edits to it will get removed if the file is opened in a newer version of Excel. Learn more: https://go.microsoft.com/fwlink/?linkid=870924
Comment:
    69.6% N= 319 for this</t>
      </text>
    </comment>
    <comment ref="M36" authorId="54" shapeId="0" xr:uid="{A28729E4-4706-46C6-9AC2-541414A5858E}">
      <text>
        <t>[Threaded comment]
Your version of Excel allows you to read this threaded comment; however, any edits to it will get removed if the file is opened in a newer version of Excel. Learn more: https://go.microsoft.com/fwlink/?linkid=870924
Comment:
    Sort of convenience sampling?</t>
      </text>
    </comment>
    <comment ref="AA36" authorId="55" shapeId="0" xr:uid="{7371A2D9-81CF-4892-BCBC-7385D39FF4F3}">
      <text>
        <t>[Threaded comment]
Your version of Excel allows you to read this threaded comment; however, any edits to it will get removed if the file is opened in a newer version of Excel. Learn more: https://go.microsoft.com/fwlink/?linkid=870924
Comment:
    This is for violence and substance use together</t>
      </text>
    </comment>
    <comment ref="AB36" authorId="56" shapeId="0" xr:uid="{179FB91D-0BDD-4010-A24A-5716FA68845B}">
      <text>
        <t>[Threaded comment]
Your version of Excel allows you to read this threaded comment; however, any edits to it will get removed if the file is opened in a newer version of Excel. Learn more: https://go.microsoft.com/fwlink/?linkid=870924
Comment:
    This is for violence and substance use together</t>
      </text>
    </comment>
    <comment ref="A37" authorId="57" shapeId="0" xr:uid="{83CC3671-6338-4CD1-ABD8-4C9EC9003E41}">
      <text>
        <t>[Threaded comment]
Your version of Excel allows you to read this threaded comment; however, any edits to it will get removed if the file is opened in a newer version of Excel. Learn more: https://go.microsoft.com/fwlink/?linkid=870924
Comment:
    2019</t>
      </text>
    </comment>
    <comment ref="D37" authorId="58" shapeId="0" xr:uid="{0E867546-6B89-4EFC-B072-7637D2BE57A1}">
      <text>
        <t>[Threaded comment]
Your version of Excel allows you to read this threaded comment; however, any edits to it will get removed if the file is opened in a newer version of Excel. Learn more: https://go.microsoft.com/fwlink/?linkid=870924
Comment:
    2019</t>
      </text>
    </comment>
    <comment ref="A38" authorId="59" shapeId="0" xr:uid="{F62C4C7A-B342-40B1-A7EC-4AF2916C68F8}">
      <text>
        <t>[Threaded comment]
Your version of Excel allows you to read this threaded comment; however, any edits to it will get removed if the file is opened in a newer version of Excel. Learn more: https://go.microsoft.com/fwlink/?linkid=870924
Comment:
    2019</t>
      </text>
    </comment>
    <comment ref="D38" authorId="60" shapeId="0" xr:uid="{C11FE7A7-D031-49C0-ADEC-B47D7669289D}">
      <text>
        <t>[Threaded comment]
Your version of Excel allows you to read this threaded comment; however, any edits to it will get removed if the file is opened in a newer version of Excel. Learn more: https://go.microsoft.com/fwlink/?linkid=870924
Comment:
    2019</t>
      </text>
    </comment>
    <comment ref="A39" authorId="61" shapeId="0" xr:uid="{50266D17-386A-4430-B8C7-4AE92F4A0FAF}">
      <text>
        <t>[Threaded comment]
Your version of Excel allows you to read this threaded comment; however, any edits to it will get removed if the file is opened in a newer version of Excel. Learn more: https://go.microsoft.com/fwlink/?linkid=870924
Comment:
    Can also extract OR of recent infection vs HIV negative - and use in incidence Meta-analysis</t>
      </text>
    </comment>
    <comment ref="A40" authorId="62" shapeId="0" xr:uid="{718E3FE0-22D4-4B60-BBB5-EA32B09DF523}">
      <text>
        <t>[Threaded comment]
Your version of Excel allows you to read this threaded comment; however, any edits to it will get removed if the file is opened in a newer version of Excel. Learn more: https://go.microsoft.com/fwlink/?linkid=870924
Comment:
    Can also extract OR of recent infection vs HIV negative - and use in incidence Meta-analysis</t>
      </text>
    </comment>
    <comment ref="AG41" authorId="63" shapeId="0" xr:uid="{28C9B2F3-DF82-4E28-B8C0-D173D974E913}">
      <text>
        <t>[Threaded comment]
Your version of Excel allows you to read this threaded comment; however, any edits to it will get removed if the file is opened in a newer version of Excel. Learn more: https://go.microsoft.com/fwlink/?linkid=870924
Comment:
    23.8%
Reply:
    82/(82+263)</t>
      </text>
    </comment>
    <comment ref="U42" authorId="64" shapeId="0" xr:uid="{0946F756-4276-44D4-8844-6ABB166ECE9D}">
      <text>
        <t>[Threaded comment]
Your version of Excel allows you to read this threaded comment; however, any edits to it will get removed if the file is opened in a newer version of Excel. Learn more: https://go.microsoft.com/fwlink/?linkid=870924
Comment:
    Unclear - arguably ever or current 
"In the study, all FCSWs who were
living in these kebelles and who had been working
as commercial sex worker for at least 3 months
preceding the study were included."</t>
      </text>
    </comment>
    <comment ref="AU49" authorId="65" shapeId="0" xr:uid="{C368065E-AA96-48C5-A11F-C1A7A5488121}">
      <text>
        <t>[Threaded comment]
Your version of Excel allows you to read this threaded comment; however, any edits to it will get removed if the file is opened in a newer version of Excel. Learn more: https://go.microsoft.com/fwlink/?linkid=870924
Comment:
    1.20</t>
      </text>
    </comment>
    <comment ref="BD49" authorId="66" shapeId="0" xr:uid="{FEE68094-101A-4FD0-A2E1-8954A3CC7A3A}">
      <text>
        <t>[Threaded comment]
Your version of Excel allows you to read this threaded comment; however, any edits to it will get removed if the file is opened in a newer version of Excel. Learn more: https://go.microsoft.com/fwlink/?linkid=870924
Comment:
    1.20</t>
      </text>
    </comment>
    <comment ref="AS51" authorId="67" shapeId="0" xr:uid="{914EC8C3-060D-4CAD-AEEA-7C21592D51A2}">
      <text>
        <t>[Threaded comment]
Your version of Excel allows you to read this threaded comment; however, any edits to it will get removed if the file is opened in a newer version of Excel. Learn more: https://go.microsoft.com/fwlink/?linkid=870924
Comment:
    1.743</t>
      </text>
    </comment>
    <comment ref="AT51" authorId="68" shapeId="0" xr:uid="{984A2285-FB9F-47C8-9AB5-E3FDB43CBA40}">
      <text>
        <t>[Threaded comment]
Your version of Excel allows you to read this threaded comment; however, any edits to it will get removed if the file is opened in a newer version of Excel. Learn more: https://go.microsoft.com/fwlink/?linkid=870924
Comment:
    1.002</t>
      </text>
    </comment>
    <comment ref="AW51" authorId="69" shapeId="0" xr:uid="{36397AA6-56E0-46F1-9B8F-7D52A57FE877}">
      <text>
        <t>[Threaded comment]
Your version of Excel allows you to read this threaded comment; however, any edits to it will get removed if the file is opened in a newer version of Excel. Learn more: https://go.microsoft.com/fwlink/?linkid=870924
Comment:
    1.743</t>
      </text>
    </comment>
    <comment ref="J52" authorId="70" shapeId="0" xr:uid="{E1F1F51B-D31C-40CE-9003-090022DA1F3F}">
      <text>
        <t>[Threaded comment]
Your version of Excel allows you to read this threaded comment; however, any edits to it will get removed if the file is opened in a newer version of Excel. Learn more: https://go.microsoft.com/fwlink/?linkid=870924
Comment:
    If RDS then community?</t>
      </text>
    </comment>
    <comment ref="L52" authorId="71" shapeId="0" xr:uid="{AD05DAB0-96EB-46C4-A494-3590B72D93C0}">
      <text>
        <t>[Threaded comment]
Your version of Excel allows you to read this threaded comment; however, any edits to it will get removed if the file is opened in a newer version of Excel. Learn more: https://go.microsoft.com/fwlink/?linkid=870924
Comment:
    2839</t>
      </text>
    </comment>
    <comment ref="U52" authorId="72" shapeId="0" xr:uid="{78811E3F-1BD4-4444-A2F9-61A86B9953C4}">
      <text>
        <t>[Threaded comment]
Your version of Excel allows you to read this threaded comment; however, any edits to it will get removed if the file is opened in a newer version of Excel. Learn more: https://go.microsoft.com/fwlink/?linkid=870924
Comment:
    https://link.springer.com/article/10.1186/s13063-015-1095-1#Sec3</t>
      </text>
    </comment>
    <comment ref="AN52" authorId="73" shapeId="0" xr:uid="{FF98206A-1D75-436B-A6F0-08D34EE6EADC}">
      <text>
        <t>[Threaded comment]
Your version of Excel allows you to read this threaded comment; however, any edits to it will get removed if the file is opened in a newer version of Excel. Learn more: https://go.microsoft.com/fwlink/?linkid=870924
Comment:
    Know living with HIV</t>
      </text>
    </comment>
    <comment ref="BA52" authorId="74" shapeId="0" xr:uid="{99FBD064-261C-4D8D-8E7B-EC39E3D9F21A}">
      <text>
        <t>[Threaded comment]
Your version of Excel allows you to read this threaded comment; however, any edits to it will get removed if the file is opened in a newer version of Excel. Learn more: https://go.microsoft.com/fwlink/?linkid=870924
Comment:
    There are adjusted RRS in table 4. Why not use those?
Reply:
    Extract for all three</t>
      </text>
    </comment>
    <comment ref="J53" authorId="75" shapeId="0" xr:uid="{ABC579BB-7A61-4C72-8C98-464E620A5425}">
      <text>
        <t>[Threaded comment]
Your version of Excel allows you to read this threaded comment; however, any edits to it will get removed if the file is opened in a newer version of Excel. Learn more: https://go.microsoft.com/fwlink/?linkid=870924
Comment:
    If RDS then community?</t>
      </text>
    </comment>
    <comment ref="L53" authorId="76" shapeId="0" xr:uid="{83706142-C721-4F0D-8486-433B70091F83}">
      <text>
        <t>[Threaded comment]
Your version of Excel allows you to read this threaded comment; however, any edits to it will get removed if the file is opened in a newer version of Excel. Learn more: https://go.microsoft.com/fwlink/?linkid=870924
Comment:
    2839</t>
      </text>
    </comment>
    <comment ref="J54" authorId="77" shapeId="0" xr:uid="{75153904-AD2A-40EF-BE97-9FAA4372C4E8}">
      <text>
        <t>[Threaded comment]
Your version of Excel allows you to read this threaded comment; however, any edits to it will get removed if the file is opened in a newer version of Excel. Learn more: https://go.microsoft.com/fwlink/?linkid=870924
Comment:
    If RDS then community?</t>
      </text>
    </comment>
    <comment ref="L54" authorId="78" shapeId="0" xr:uid="{682E7899-6D49-4264-97E8-2F9E5750DC33}">
      <text>
        <t>[Threaded comment]
Your version of Excel allows you to read this threaded comment; however, any edits to it will get removed if the file is opened in a newer version of Excel. Learn more: https://go.microsoft.com/fwlink/?linkid=870924
Comment:
    2839</t>
      </text>
    </comment>
    <comment ref="AT54" authorId="79" shapeId="0" xr:uid="{6F98FB53-CD34-4AA8-A4DA-233DCFFB26A2}">
      <text>
        <t>[Threaded comment]
Your version of Excel allows you to read this threaded comment; however, any edits to it will get removed if the file is opened in a newer version of Excel. Learn more: https://go.microsoft.com/fwlink/?linkid=870924
Comment:
    0.59</t>
      </text>
    </comment>
    <comment ref="AX54" authorId="80" shapeId="0" xr:uid="{2CFEB513-2235-44D1-9C93-6FCB9D71AC21}">
      <text>
        <t>[Threaded comment]
Your version of Excel allows you to read this threaded comment; however, any edits to it will get removed if the file is opened in a newer version of Excel. Learn more: https://go.microsoft.com/fwlink/?linkid=870924
Comment:
    0.59</t>
      </text>
    </comment>
    <comment ref="U55" authorId="81" shapeId="0" xr:uid="{944D79C0-098D-439A-901A-018319852B86}">
      <text>
        <t>[Threaded comment]
Your version of Excel allows you to read this threaded comment; however, any edits to it will get removed if the file is opened in a newer version of Excel. Learn more: https://go.microsoft.com/fwlink/?linkid=870924
Comment:
    Current?</t>
      </text>
    </comment>
    <comment ref="A56" authorId="82" shapeId="0" xr:uid="{4AC71967-57A3-4BB7-83B1-3FF960AB9669}">
      <text>
        <t>[Threaded comment]
Your version of Excel allows you to read this threaded comment; however, any edits to it will get removed if the file is opened in a newer version of Excel. Learn more: https://go.microsoft.com/fwlink/?linkid=870924
Comment:
    Also could estimate ORs for Pimp sexual violence (with correction for zero count), Pimp physical violence, presented with more clients than agreed to
Reply:
    Also extract the more clients thing
Reply:
    Calculate using correction but put as footnote in table rather than in methods</t>
      </text>
    </comment>
    <comment ref="U56" authorId="83" shapeId="0" xr:uid="{52072F73-138F-4658-B4D8-E02C95434F2C}">
      <text>
        <t>[Threaded comment]
Your version of Excel allows you to read this threaded comment; however, any edits to it will get removed if the file is opened in a newer version of Excel. Learn more: https://go.microsoft.com/fwlink/?linkid=870924
Comment:
    Current?</t>
      </text>
    </comment>
    <comment ref="AN56" authorId="84" shapeId="0" xr:uid="{CC541DFE-7CBF-49B5-B47E-E5F7D65C5FDC}">
      <text>
        <t>[Threaded comment]
Your version of Excel allows you to read this threaded comment; however, any edits to it will get removed if the file is opened in a newer version of Excel. Learn more: https://go.microsoft.com/fwlink/?linkid=870924
Comment:
    Seems to be those who do not know living with HIV</t>
      </text>
    </comment>
    <comment ref="U57" authorId="85" shapeId="0" xr:uid="{2ABF514E-9BDC-4338-8083-E094BCFF08C4}">
      <text>
        <t>[Threaded comment]
Your version of Excel allows you to read this threaded comment; however, any edits to it will get removed if the file is opened in a newer version of Excel. Learn more: https://go.microsoft.com/fwlink/?linkid=870924
Comment:
    Current?</t>
      </text>
    </comment>
    <comment ref="U58" authorId="86" shapeId="0" xr:uid="{75EA599B-5FE5-47BE-96F7-EB617C9BF1FB}">
      <text>
        <t>[Threaded comment]
Your version of Excel allows you to read this threaded comment; however, any edits to it will get removed if the file is opened in a newer version of Excel. Learn more: https://go.microsoft.com/fwlink/?linkid=870924
Comment:
    Current?</t>
      </text>
    </comment>
    <comment ref="U59" authorId="87" shapeId="0" xr:uid="{3FA30B4F-FD4F-45B0-8FB4-B2CE232830F3}">
      <text>
        <t>[Threaded comment]
Your version of Excel allows you to read this threaded comment; however, any edits to it will get removed if the file is opened in a newer version of Excel. Learn more: https://go.microsoft.com/fwlink/?linkid=870924
Comment:
    Current?</t>
      </text>
    </comment>
    <comment ref="U60" authorId="88" shapeId="0" xr:uid="{964198D4-20FF-4B17-B595-386A40159452}">
      <text>
        <t>[Threaded comment]
Your version of Excel allows you to read this threaded comment; however, any edits to it will get removed if the file is opened in a newer version of Excel. Learn more: https://go.microsoft.com/fwlink/?linkid=870924
Comment:
    Current?</t>
      </text>
    </comment>
    <comment ref="U61" authorId="89" shapeId="0" xr:uid="{90B08310-3F45-43C4-806B-BEAB325E5D41}">
      <text>
        <t>[Threaded comment]
Your version of Excel allows you to read this threaded comment; however, any edits to it will get removed if the file is opened in a newer version of Excel. Learn more: https://go.microsoft.com/fwlink/?linkid=870924
Comment:
    This is for the qualitative survey not quant. Not sure it is defined - maybe current?</t>
      </text>
    </comment>
    <comment ref="U62" authorId="90" shapeId="0" xr:uid="{20D8FA7C-CB3D-4463-8546-D91D0C72831A}">
      <text>
        <t>[Threaded comment]
Your version of Excel allows you to read this threaded comment; however, any edits to it will get removed if the file is opened in a newer version of Excel. Learn more: https://go.microsoft.com/fwlink/?linkid=870924
Comment:
    This is for the qualitative survey not quant. Not sure it is defined - maybe current?</t>
      </text>
    </comment>
    <comment ref="U63" authorId="91" shapeId="0" xr:uid="{B35488E5-F97B-484B-B844-8D32ADF1B9C9}">
      <text>
        <t>[Threaded comment]
Your version of Excel allows you to read this threaded comment; however, any edits to it will get removed if the file is opened in a newer version of Excel. Learn more: https://go.microsoft.com/fwlink/?linkid=870924
Comment:
    This is for the qualitative survey not quant. Not sure it is defined - maybe current?</t>
      </text>
    </comment>
    <comment ref="U64" authorId="92" shapeId="0" xr:uid="{A0BE469D-FFAF-4336-B710-DEE9229B758F}">
      <text>
        <t>[Threaded comment]
Your version of Excel allows you to read this threaded comment; however, any edits to it will get removed if the file is opened in a newer version of Excel. Learn more: https://go.microsoft.com/fwlink/?linkid=870924
Comment:
    This is for the qualitative survey not quant. Not sure it is defined - maybe current?</t>
      </text>
    </comment>
    <comment ref="U65" authorId="93" shapeId="0" xr:uid="{769E4C33-AEE9-4213-A50F-BC9A11DED19A}">
      <text>
        <t>[Threaded comment]
Your version of Excel allows you to read this threaded comment; however, any edits to it will get removed if the file is opened in a newer version of Excel. Learn more: https://go.microsoft.com/fwlink/?linkid=870924
Comment:
    This is for the qualitative survey not quant. Not sure it is defined - maybe current?</t>
      </text>
    </comment>
    <comment ref="AF66" authorId="94" shapeId="0" xr:uid="{B340D370-DD42-45C2-99F1-F392C636C507}">
      <text>
        <t>[Threaded comment]
Your version of Excel allows you to read this threaded comment; however, any edits to it will get removed if the file is opened in a newer version of Excel. Learn more: https://go.microsoft.com/fwlink/?linkid=870924
Comment:
    These are the number with outcome?
Reply:
    Not right</t>
      </text>
    </comment>
    <comment ref="AG66" authorId="95" shapeId="0" xr:uid="{8F037DF1-D3F6-4675-B321-9444B3086129}">
      <text>
        <t>[Threaded comment]
Your version of Excel allows you to read this threaded comment; however, any edits to it will get removed if the file is opened in a newer version of Excel. Learn more: https://go.microsoft.com/fwlink/?linkid=870924
Comment:
    If this is what you are using when pooling then 60.4%</t>
      </text>
    </comment>
    <comment ref="AN66" authorId="96" shapeId="0" xr:uid="{16B3F7F6-45FC-4058-87A4-8C65D2C81A62}">
      <text>
        <t>[Threaded comment]
Your version of Excel allows you to read this threaded comment; however, any edits to it will get removed if the file is opened in a newer version of Excel. Learn more: https://go.microsoft.com/fwlink/?linkid=870924
Comment:
    Self-report being HIV+
Reply:
    Does that meet inclusion criteria??</t>
      </text>
    </comment>
    <comment ref="AW66" authorId="97" shapeId="0" xr:uid="{39113FCF-CD56-4E26-92B6-BE77DCA66775}">
      <text>
        <t>[Threaded comment]
Your version of Excel allows you to read this threaded comment; however, any edits to it will get removed if the file is opened in a newer version of Excel. Learn more: https://go.microsoft.com/fwlink/?linkid=870924
Comment:
    I think you cn work this out: 0.59 (0.20-1.72)</t>
      </text>
    </comment>
    <comment ref="AF67" authorId="98" shapeId="0" xr:uid="{A9D7F15F-BE27-46D2-AD8B-80D032ABAF56}">
      <text>
        <t>[Threaded comment]
Your version of Excel allows you to read this threaded comment; however, any edits to it will get removed if the file is opened in a newer version of Excel. Learn more: https://go.microsoft.com/fwlink/?linkid=870924
Comment:
    These are the number with outcome?
Reply:
    Not right</t>
      </text>
    </comment>
    <comment ref="AG67" authorId="99" shapeId="0" xr:uid="{259EC1F6-3229-4043-BBD1-D170A8630285}">
      <text>
        <t>[Threaded comment]
Your version of Excel allows you to read this threaded comment; however, any edits to it will get removed if the file is opened in a newer version of Excel. Learn more: https://go.microsoft.com/fwlink/?linkid=870924
Comment:
    If this is what you are using when pooling then 60.4%</t>
      </text>
    </comment>
    <comment ref="AN67" authorId="100" shapeId="0" xr:uid="{DFFEADBE-C45A-440E-ACB5-5C739F26F7FD}">
      <text>
        <t>[Threaded comment]
Your version of Excel allows you to read this threaded comment; however, any edits to it will get removed if the file is opened in a newer version of Excel. Learn more: https://go.microsoft.com/fwlink/?linkid=870924
Comment:
    Self report HIV negative</t>
      </text>
    </comment>
    <comment ref="AW67" authorId="101" shapeId="0" xr:uid="{77278C7A-E665-495E-9F77-ECFB90597AB7}">
      <text>
        <t>[Threaded comment]
Your version of Excel allows you to read this threaded comment; however, any edits to it will get removed if the file is opened in a newer version of Excel. Learn more: https://go.microsoft.com/fwlink/?linkid=870924
Comment:
    I think you can work this out: 0.83 (0.66-1.05)
Reply:
    Well done</t>
      </text>
    </comment>
    <comment ref="Y68" authorId="102" shapeId="0" xr:uid="{99FE3017-B94D-432B-AB3D-6B1AF38DC340}">
      <text>
        <t>[Threaded comment]
Your version of Excel allows you to read this threaded comment; however, any edits to it will get removed if the file is opened in a newer version of Excel. Learn more: https://go.microsoft.com/fwlink/?linkid=870924
Comment:
    RDS weighted = 31.4</t>
      </text>
    </comment>
    <comment ref="AG68" authorId="103" shapeId="0" xr:uid="{51F722E9-D657-43F9-B1B5-C75900E89205}">
      <text>
        <t>[Threaded comment]
Your version of Excel allows you to read this threaded comment; however, any edits to it will get removed if the file is opened in a newer version of Excel. Learn more: https://go.microsoft.com/fwlink/?linkid=870924
Comment:
    If this is what is being used to pool % experiencing violence, then would use largest sample which is for serostatus knowledge: (66+144)/(66+144+39+71) = -.65625</t>
      </text>
    </comment>
    <comment ref="AH68" authorId="104" shapeId="0" xr:uid="{2DDE2D8B-9124-46BC-81BB-9E8251479CD5}">
      <text>
        <t>[Threaded comment]
Your version of Excel allows you to read this threaded comment; however, any edits to it will get removed if the file is opened in a newer version of Excel. Learn more: https://go.microsoft.com/fwlink/?linkid=870924
Comment:
    No</t>
      </text>
    </comment>
    <comment ref="Y69" authorId="105" shapeId="0" xr:uid="{20A08E17-0B0D-4A12-974C-5453A4E993A5}">
      <text>
        <t>[Threaded comment]
Your version of Excel allows you to read this threaded comment; however, any edits to it will get removed if the file is opened in a newer version of Excel. Learn more: https://go.microsoft.com/fwlink/?linkid=870924
Comment:
    RDS weighted = 31.4</t>
      </text>
    </comment>
    <comment ref="AH69" authorId="106" shapeId="0" xr:uid="{B73F9E5B-1C73-4B06-8D5D-A5FB2FD3C350}">
      <text>
        <t>[Threaded comment]
Your version of Excel allows you to read this threaded comment; however, any edits to it will get removed if the file is opened in a newer version of Excel. Learn more: https://go.microsoft.com/fwlink/?linkid=870924
Comment:
    Yes</t>
      </text>
    </comment>
    <comment ref="AB72" authorId="107" shapeId="0" xr:uid="{FBFDA73D-E7D3-4EC2-880E-BEF25D9F458C}">
      <text>
        <t>[Threaded comment]
Your version of Excel allows you to read this threaded comment; however, any edits to it will get removed if the file is opened in a newer version of Excel. Learn more: https://go.microsoft.com/fwlink/?linkid=870924
Comment:
    I presume this is fine to use as an exposure, but I’m copying here so Jack can confirm:
The dependent variable was involuntary sex exchange, which was defined as a ‘yes’ response to either of the following questions: ‘Have you ever been sold or traded for sexual purposes?’ or ‘Have you ever been forced to exchange sex for money, drugs, or other goods at the orders of another person?’ These measures were designed based on the UN Palermo Protocol definition of trafficking in persons and formative qualitative research conducted with FSWs, and were pilot-tested. 
Reply:
    Discussed with jack and is fine</t>
      </text>
    </comment>
    <comment ref="AS72" authorId="108" shapeId="0" xr:uid="{361FD7F5-4BCC-4ABF-AE1C-F5915D30691A}">
      <text>
        <t>[Threaded comment]
Your version of Excel allows you to read this threaded comment; however, any edits to it will get removed if the file is opened in a newer version of Excel. Learn more: https://go.microsoft.com/fwlink/?linkid=870924
Comment:
    I can’t see calculation for this
Reply:
    Have checked and okay
Reply:
    Have added it</t>
      </text>
    </comment>
    <comment ref="BF73" authorId="109" shapeId="0" xr:uid="{53825F4D-C694-47F3-8AC0-704E8F928969}">
      <text>
        <t>[Threaded comment]
Your version of Excel allows you to read this threaded comment; however, any edits to it will get removed if the file is opened in a newer version of Excel. Learn more: https://go.microsoft.com/fwlink/?linkid=870924
Comment:
    Educational attainment: none or incomplete primary school, age at first sex work, and incarceration</t>
      </text>
    </comment>
    <comment ref="AB78" authorId="110" shapeId="0" xr:uid="{55074CAC-16B6-4D2E-A801-8AFC47EEF139}">
      <text>
        <t>[Threaded comment]
Your version of Excel allows you to read this threaded comment; however, any edits to it will get removed if the file is opened in a newer version of Excel. Learn more: https://go.microsoft.com/fwlink/?linkid=870924
Comment:
    Why would “Lived in an IDP camp” and “War-related abduction” be included as exposures for the Goldenberg study above but not for this one?
Reply:
    On the face of it They dont really seem like violence? Maybe abducted into army, maybe. 
Reply:
    Discussed with Jack and have included war-related abducted and removed lived in IDP camp</t>
      </text>
    </comment>
    <comment ref="AS78" authorId="111" shapeId="0" xr:uid="{C2489932-2121-4732-B8D3-FA5EA84519B4}">
      <text>
        <t>[Threaded comment]
Your version of Excel allows you to read this threaded comment; however, any edits to it will get removed if the file is opened in a newer version of Excel. Learn more: https://go.microsoft.com/fwlink/?linkid=870924
Comment:
    I can’t see this calculation
Reply:
    Have checked and okay
Reply:
    Added to calculations sheet</t>
      </text>
    </comment>
    <comment ref="AS79" authorId="112" shapeId="0" xr:uid="{3EECF707-C777-46A3-B5EA-61F7922E147B}">
      <text>
        <t>[Threaded comment]
Your version of Excel allows you to read this threaded comment; however, any edits to it will get removed if the file is opened in a newer version of Excel. Learn more: https://go.microsoft.com/fwlink/?linkid=870924
Comment:
    I can’t see this calculation
Reply:
    Have checked and okay</t>
      </text>
    </comment>
    <comment ref="AW80" authorId="113" shapeId="0" xr:uid="{77BC194E-FDB5-46DC-AA61-55B0418E3CB3}">
      <text>
        <t>[Threaded comment]
Your version of Excel allows you to read this threaded comment; however, any edits to it will get removed if the file is opened in a newer version of Excel. Learn more: https://go.microsoft.com/fwlink/?linkid=870924
Comment:
    I can’t see this calculation
Reply:
    Have checked and okay
Reply:
    Added to sheet</t>
      </text>
    </comment>
    <comment ref="BF81" authorId="114" shapeId="0" xr:uid="{85C302E1-2C1C-46F9-B7A0-FABE6768C61C}">
      <text>
        <t>[Threaded comment]
Your version of Excel allows you to read this threaded comment; however, any edits to it will get removed if the file is opened in a newer version of Excel. Learn more: https://go.microsoft.com/fwlink/?linkid=870924
Comment:
    And community (Mafinga vs Ilula)</t>
      </text>
    </comment>
    <comment ref="AA83" authorId="115" shapeId="0" xr:uid="{1CEAAF1E-B41A-4566-8060-116802F4463D}">
      <text>
        <t>[Threaded comment]
Your version of Excel allows you to read this threaded comment; however, any edits to it will get removed if the file is opened in a newer version of Excel. Learn more: https://go.microsoft.com/fwlink/?linkid=870924
Comment:
    “Experienced sexual violence past 12 months”
Reply:
    Past 12 months goes into time frame column - have updated other text</t>
      </text>
    </comment>
    <comment ref="AB83" authorId="116" shapeId="0" xr:uid="{53A7E680-F8BF-4EC3-AE4D-BFA1F5738B38}">
      <text>
        <t>[Threaded comment]
Your version of Excel allows you to read this threaded comment; however, any edits to it will get removed if the file is opened in a newer version of Excel. Learn more: https://go.microsoft.com/fwlink/?linkid=870924
Comment:
    “Experienced sexual violence past 12 months”</t>
      </text>
    </comment>
    <comment ref="BF87" authorId="117" shapeId="0" xr:uid="{87331448-9FF2-4735-A1DE-DDAC8176DA6A}">
      <text>
        <t>[Threaded comment]
Your version of Excel allows you to read this threaded comment; however, any edits to it will get removed if the file is opened in a newer version of Excel. Learn more: https://go.microsoft.com/fwlink/?linkid=870924
Comment:
    + Income</t>
      </text>
    </comment>
    <comment ref="AS88" authorId="118" shapeId="0" xr:uid="{0407986C-6552-4436-87DF-83BF9B64F034}">
      <text>
        <t>[Threaded comment]
Your version of Excel allows you to read this threaded comment; however, any edits to it will get removed if the file is opened in a newer version of Excel. Learn more: https://go.microsoft.com/fwlink/?linkid=870924
Comment:
    I can’t see this calculation
Reply:
    Have checked and okay
Reply:
    Have added to calculation sheet</t>
      </text>
    </comment>
    <comment ref="AA89" authorId="119" shapeId="0" xr:uid="{F1DDB870-5A92-4665-AE17-30CCBEB95F61}">
      <text>
        <t>[Threaded comment]
Your version of Excel allows you to read this threaded comment; however, any edits to it will get removed if the file is opened in a newer version of Excel. Learn more: https://go.microsoft.com/fwlink/?linkid=870924
Comment:
    For Jack to check whether this meets the inclusion criteria for violence:
“To measure economic abuse, enrolled women were asked 12 questions about whether a current or past sex partner had ever hurt them financially since the start of their relationship based on the following items: (i) made you ask them for money; (ii) demanded to know how money was spent; (iii) demanded that you give them receipts and/or change when money was spent; (iv) kept financial information from you; (v) made important financial decisions without talking with you first; (vi) threatened to make you leave job/work; (vii) demanded that you quit your job/work; (viii) beat you up if you said you needed to go to work; (ix) did things to keep you from going to your job/work; (x) spent money you needed for rent and other bills; (xi) paid bills late or not pay bills that were in your name or both of your names; and (xii) borrowed money or purchased things on credit under your name.”
Reply:
    I think its okay - obviously a different type of violence though</t>
      </text>
    </comment>
    <comment ref="AF89" authorId="120" shapeId="0" xr:uid="{A91EA91B-AED3-4AAF-BE73-8AED5A5BABDA}">
      <text>
        <t>[Threaded comment]
Your version of Excel allows you to read this threaded comment; however, any edits to it will get removed if the file is opened in a newer version of Excel. Learn more: https://go.microsoft.com/fwlink/?linkid=870924
Comment:
    This is the N that HIV+</t>
      </text>
    </comment>
    <comment ref="AI89" authorId="121" shapeId="0" xr:uid="{64222D56-E2E3-42C3-BEAD-BD567EF36D2D}">
      <text>
        <t>[Threaded comment]
Your version of Excel allows you to read this threaded comment; however, any edits to it will get removed if the file is opened in a newer version of Excel. Learn more: https://go.microsoft.com/fwlink/?linkid=870924
Comment:
    This is among self-reported HIV+ so exclude?
Reply:
    No we are including self reported HIV for ART</t>
      </text>
    </comment>
    <comment ref="AS89" authorId="122" shapeId="0" xr:uid="{1F504642-1FF8-4368-A3FB-C6AF705CD06C}">
      <text>
        <t>[Threaded comment]
Your version of Excel allows you to read this threaded comment; however, any edits to it will get removed if the file is opened in a newer version of Excel. Learn more: https://go.microsoft.com/fwlink/?linkid=870924
Comment:
    I can’t see these calculations
Reply:
    In table 5 - looks okay to me
Reply:
    Not calculated, included in manuscript</t>
      </text>
    </comment>
    <comment ref="L91" authorId="123" shapeId="0" xr:uid="{740530F5-1E44-4EC9-8957-0A37537A8910}">
      <text>
        <t>[Threaded comment]
Your version of Excel allows you to read this threaded comment; however, any edits to it will get removed if the file is opened in a newer version of Excel. Learn more: https://go.microsoft.com/fwlink/?linkid=870924
Comment:
    “Among HIV-negative WESW, tested for HIV in last 90 days” N=350</t>
      </text>
    </comment>
    <comment ref="K93" authorId="124" shapeId="0" xr:uid="{F8365229-FDA6-445E-A511-CA9DA0302956}">
      <text>
        <t>[Threaded comment]
Your version of Excel allows you to read this threaded comment; however, any edits to it will get removed if the file is opened in a newer version of Excel. Learn more: https://go.microsoft.com/fwlink/?linkid=870924
Comment:
    Calculated from findings</t>
      </text>
    </comment>
    <comment ref="L93" authorId="125" shapeId="0" xr:uid="{1ECF3806-6C46-49A6-BC49-D27206E7968F}">
      <text>
        <t>[Threaded comment]
Your version of Excel allows you to read this threaded comment; however, any edits to it will get removed if the file is opened in a newer version of Excel. Learn more: https://go.microsoft.com/fwlink/?linkid=870924
Comment:
    Calculated from table 2</t>
      </text>
    </comment>
    <comment ref="Y93" authorId="126" shapeId="0" xr:uid="{4BAFCA35-A9E5-45DB-8CA9-5E776224C5CA}">
      <text>
        <t>[Threaded comment]
Your version of Excel allows you to read this threaded comment; however, any edits to it will get removed if the file is opened in a newer version of Excel. Learn more: https://go.microsoft.com/fwlink/?linkid=870924
Comment:
    Calculated from table 2, in calculations tab</t>
      </text>
    </comment>
    <comment ref="AS93" authorId="127" shapeId="0" xr:uid="{3A0903AB-7DEC-4CC9-A9A4-43918881D16A}">
      <text>
        <t>[Threaded comment]
Your version of Excel allows you to read this threaded comment; however, any edits to it will get removed if the file is opened in a newer version of Excel. Learn more: https://go.microsoft.com/fwlink/?linkid=870924
Comment:
    I used Table 3 for this estimate because there isn't one for all four survey years in Table 4
Reply:
    I think this is a coefficient not an OR as some others in the table are negative</t>
      </text>
    </comment>
    <comment ref="AT93" authorId="128" shapeId="0" xr:uid="{15FE056E-E24B-4EC4-B2DD-C78E40AF518D}">
      <text>
        <t>[Threaded comment]
Your version of Excel allows you to read this threaded comment; however, any edits to it will get removed if the file is opened in a newer version of Excel. Learn more: https://go.microsoft.com/fwlink/?linkid=870924
Comment:
    Calculated from P-value, in calculations tab</t>
      </text>
    </comment>
    <comment ref="BB93" authorId="129" shapeId="0" xr:uid="{E02D1C30-72C5-4266-B22C-1ED76C9B5F67}">
      <text>
        <t>[Threaded comment]
Your version of Excel allows you to read this threaded comment; however, any edits to it will get removed if the file is opened in a newer version of Excel. Learn more: https://go.microsoft.com/fwlink/?linkid=870924
Comment:
    I used Table 3 for this estimate because there isn't one for all four survey years in Table 4
Reply:
    I think this is a coefficient not an OR as some others in the table are negative</t>
      </text>
    </comment>
    <comment ref="BC93" authorId="130" shapeId="0" xr:uid="{41287443-1D31-4765-90F9-3B0357988A4D}">
      <text>
        <t>[Threaded comment]
Your version of Excel allows you to read this threaded comment; however, any edits to it will get removed if the file is opened in a newer version of Excel. Learn more: https://go.microsoft.com/fwlink/?linkid=870924
Comment:
    Calculated from P-value, in calculations tab</t>
      </text>
    </comment>
    <comment ref="K94" authorId="131" shapeId="0" xr:uid="{C8406371-FB19-49AD-8309-9663317975D6}">
      <text>
        <t>[Threaded comment]
Your version of Excel allows you to read this threaded comment; however, any edits to it will get removed if the file is opened in a newer version of Excel. Learn more: https://go.microsoft.com/fwlink/?linkid=870924
Comment:
    Calculated from findings</t>
      </text>
    </comment>
    <comment ref="Y94" authorId="132" shapeId="0" xr:uid="{B6B6C9E8-8507-48AC-B932-985C8A4B8A8E}">
      <text>
        <t>[Threaded comment]
Your version of Excel allows you to read this threaded comment; however, any edits to it will get removed if the file is opened in a newer version of Excel. Learn more: https://go.microsoft.com/fwlink/?linkid=870924
Comment:
    Calculated from table 2, in calculations tab</t>
      </text>
    </comment>
    <comment ref="AS94" authorId="133" shapeId="0" xr:uid="{4A5323FA-F003-433B-8E5A-975205043F63}">
      <text>
        <t>[Threaded comment]
Your version of Excel allows you to read this threaded comment; however, any edits to it will get removed if the file is opened in a newer version of Excel. Learn more: https://go.microsoft.com/fwlink/?linkid=870924
Comment:
    Calculated from table 4
Reply:
    I think this is a coefficient not an OR as some others in the table are negative</t>
      </text>
    </comment>
    <comment ref="BB94" authorId="134" shapeId="0" xr:uid="{A192387C-B572-4272-B8F0-840E58F0843A}">
      <text>
        <t>[Threaded comment]
Your version of Excel allows you to read this threaded comment; however, any edits to it will get removed if the file is opened in a newer version of Excel. Learn more: https://go.microsoft.com/fwlink/?linkid=870924
Comment:
    Calculated from table 4
Reply:
    I think this is a coefficient not an OR as some others in the table are negative</t>
      </text>
    </comment>
    <comment ref="L95" authorId="135" shapeId="0" xr:uid="{A1C9E7CC-B5DA-4100-939F-CA2D96109959}">
      <text>
        <t>[Threaded comment]
Your version of Excel allows you to read this threaded comment; however, any edits to it will get removed if the file is opened in a newer version of Excel. Learn more: https://go.microsoft.com/fwlink/?linkid=870924
Comment:
    I can’t see why this would be 6349 rather than 6665</t>
      </text>
    </comment>
    <comment ref="U95" authorId="136" shapeId="0" xr:uid="{E3C49439-4CE0-4914-8A05-C197153AB85E}">
      <text>
        <t>[Threaded comment]
Your version of Excel allows you to read this threaded comment; however, any edits to it will get removed if the file is opened in a newer version of Excel. Learn more: https://go.microsoft.com/fwlink/?linkid=870924
Comment:
    https://link.springer.com/article/10.1186/s13063-015-1095-1#Sec3</t>
      </text>
    </comment>
    <comment ref="BF96" authorId="137" shapeId="0" xr:uid="{1528D086-EBFF-425B-8127-14D43A4FCA75}">
      <text>
        <t>[Threaded comment]
Your version of Excel allows you to read this threaded comment; however, any edits to it will get removed if the file is opened in a newer version of Excel. Learn more: https://go.microsoft.com/fwlink/?linkid=870924
Comment:
    Alcohol use, STIs, type of sexual intercourse</t>
      </text>
    </comment>
    <comment ref="AT97" authorId="138" shapeId="0" xr:uid="{8ACDB039-CDBB-4733-A5E0-9AA0C2B17159}">
      <text>
        <t>[Threaded comment]
Your version of Excel allows you to read this threaded comment; however, any edits to it will get removed if the file is opened in a newer version of Excel. Learn more: https://go.microsoft.com/fwlink/?linkid=870924
Comment:
    I can’t see how the intervals were calculated - the point estimate is just from division
Reply:
    Yes - I agree this looks difficult because based on recent HIV infection markers. Josh can you confirm how this was done
Reply:
    In the sheet now</t>
      </text>
    </comment>
    <comment ref="AX97" authorId="139" shapeId="0" xr:uid="{11FA9E90-3515-425E-AD92-9BF9BDD20D6E}">
      <text>
        <t>[Threaded comment]
Your version of Excel allows you to read this threaded comment; however, any edits to it will get removed if the file is opened in a newer version of Excel. Learn more: https://go.microsoft.com/fwlink/?linkid=870924
Comment:
    I can’t see how the intervals were calculated - the point estimate is just from division
Reply:
    Yes - I agree this looks difficult because based on recent HIV infection markers. Josh can you confirm how this was done</t>
      </text>
    </comment>
    <comment ref="L98" authorId="140" shapeId="0" xr:uid="{04074DF0-EF25-4E4E-8FEA-DBE7FE336D9B}">
      <text>
        <t>[Threaded comment]
Your version of Excel allows you to read this threaded comment; however, any edits to it will get removed if the file is opened in a newer version of Excel. Learn more: https://go.microsoft.com/fwlink/?linkid=870924
Comment:
    702+146=848 (Lae)</t>
      </text>
    </comment>
    <comment ref="O98" authorId="141" shapeId="0" xr:uid="{D20FB174-7529-4C30-B39B-C75E6854A887}">
      <text>
        <t>[Threaded comment]
Your version of Excel allows you to read this threaded comment; however, any edits to it will get removed if the file is opened in a newer version of Excel. Learn more: https://go.microsoft.com/fwlink/?linkid=870924
Comment:
    Lae</t>
      </text>
    </comment>
    <comment ref="X98" authorId="142" shapeId="0" xr:uid="{695837DB-5992-47E9-9D4F-284399F1186A}">
      <text>
        <t>[Threaded comment]
Your version of Excel allows you to read this threaded comment; however, any edits to it will get removed if the file is opened in a newer version of Excel. Learn more: https://go.microsoft.com/fwlink/?linkid=870924
Comment:
    83 (Lae)</t>
      </text>
    </comment>
    <comment ref="Y98" authorId="143" shapeId="0" xr:uid="{56079877-A47D-4CCF-97DB-06130DFBDB1B}">
      <text>
        <t>[Threaded comment]
Your version of Excel allows you to read this threaded comment; however, any edits to it will get removed if the file is opened in a newer version of Excel. Learn more: https://go.microsoft.com/fwlink/?linkid=870924
Comment:
    83/(83+704)=0.105</t>
      </text>
    </comment>
    <comment ref="AF98" authorId="144" shapeId="0" xr:uid="{827AE5A7-61F8-4BE3-B383-A8EEBC7A1471}">
      <text>
        <t>[Threaded comment]
Your version of Excel allows you to read this threaded comment; however, any edits to it will get removed if the file is opened in a newer version of Excel. Learn more: https://go.microsoft.com/fwlink/?linkid=870924
Comment:
    146</t>
      </text>
    </comment>
    <comment ref="AG98" authorId="145" shapeId="0" xr:uid="{9FB4E436-2C8C-4481-971F-5E116E7BE7E8}">
      <text>
        <t>[Threaded comment]
Your version of Excel allows you to read this threaded comment; however, any edits to it will get removed if the file is opened in a newer version of Excel. Learn more: https://go.microsoft.com/fwlink/?linkid=870924
Comment:
    146/(146+702)=0.172</t>
      </text>
    </comment>
    <comment ref="L99" authorId="146" shapeId="0" xr:uid="{3D586203-9826-4304-9589-565DC5AFFA87}">
      <text>
        <t>[Threaded comment]
Your version of Excel allows you to read this threaded comment; however, any edits to it will get removed if the file is opened in a newer version of Excel. Learn more: https://go.microsoft.com/fwlink/?linkid=870924
Comment:
    604+109=713 (Port Moresby)</t>
      </text>
    </comment>
    <comment ref="O99" authorId="147" shapeId="0" xr:uid="{59812407-2859-4D35-BAEE-4BDDED96B821}">
      <text>
        <t>[Threaded comment]
Your version of Excel allows you to read this threaded comment; however, any edits to it will get removed if the file is opened in a newer version of Excel. Learn more: https://go.microsoft.com/fwlink/?linkid=870924
Comment:
    Port Moresby</t>
      </text>
    </comment>
    <comment ref="X99" authorId="148" shapeId="0" xr:uid="{C4A977DA-FF80-4230-A796-514A45144CAB}">
      <text>
        <t>[Threaded comment]
Your version of Excel allows you to read this threaded comment; however, any edits to it will get removed if the file is opened in a newer version of Excel. Learn more: https://go.microsoft.com/fwlink/?linkid=870924
Comment:
    94 (Port Moresby)</t>
      </text>
    </comment>
    <comment ref="Y99" authorId="149" shapeId="0" xr:uid="{75DB227A-C8B2-44A8-908E-34650ACBEA70}">
      <text>
        <t>[Threaded comment]
Your version of Excel allows you to read this threaded comment; however, any edits to it will get removed if the file is opened in a newer version of Excel. Learn more: https://go.microsoft.com/fwlink/?linkid=870924
Comment:
    94/(663+94)=0.124</t>
      </text>
    </comment>
    <comment ref="AS99" authorId="150" shapeId="0" xr:uid="{F5DE1795-3C7A-4348-8CA3-F5CFA09F03A1}">
      <text>
        <t>[Threaded comment]
Your version of Excel allows you to read this threaded comment; however, any edits to it will get removed if the file is opened in a newer version of Excel. Learn more: https://go.microsoft.com/fwlink/?linkid=870924
Comment:
    Confusingly, in the table in the paper, they seem to be saying that the reference group for this s those with Sexual violence and the OR is for those without. I think this is probably just a mistake as the tables are sloppy
Reply:
    I think it’s a mistake too</t>
      </text>
    </comment>
    <comment ref="L101" authorId="151" shapeId="0" xr:uid="{4AA17C25-1DE5-4E79-A212-C748DB16EBD2}">
      <text>
        <t>[Threaded comment]
Your version of Excel allows you to read this threaded comment; however, any edits to it will get removed if the file is opened in a newer version of Excel. Learn more: https://go.microsoft.com/fwlink/?linkid=870924
Comment:
    62</t>
      </text>
    </comment>
    <comment ref="X101" authorId="152" shapeId="0" xr:uid="{1BC3CFE0-F3C0-49A9-99F4-D9B5A2CB01DD}">
      <text>
        <t>[Threaded comment]
Your version of Excel allows you to read this threaded comment; however, any edits to it will get removed if the file is opened in a newer version of Excel. Learn more: https://go.microsoft.com/fwlink/?linkid=870924
Comment:
    62</t>
      </text>
    </comment>
    <comment ref="Y101" authorId="153" shapeId="0" xr:uid="{C70356AC-C1B6-4DD9-A6F9-56EFE935AACB}">
      <text>
        <t>[Threaded comment]
Your version of Excel allows you to read this threaded comment; however, any edits to it will get removed if the file is opened in a newer version of Excel. Learn more: https://go.microsoft.com/fwlink/?linkid=870924
Comment:
    1</t>
      </text>
    </comment>
    <comment ref="AF101" authorId="154" shapeId="0" xr:uid="{4456DB79-8903-4795-96BE-9C03CE7D33BB}">
      <text>
        <t>[Threaded comment]
Your version of Excel allows you to read this threaded comment; however, any edits to it will get removed if the file is opened in a newer version of Excel. Learn more: https://go.microsoft.com/fwlink/?linkid=870924
Comment:
    39</t>
      </text>
    </comment>
    <comment ref="AG101" authorId="155" shapeId="0" xr:uid="{D829F8F4-6195-4F19-8103-04069C2B2E9E}">
      <text>
        <t>[Threaded comment]
Your version of Excel allows you to read this threaded comment; however, any edits to it will get removed if the file is opened in a newer version of Excel. Learn more: https://go.microsoft.com/fwlink/?linkid=870924
Comment:
    .679</t>
      </text>
    </comment>
    <comment ref="BB103" authorId="156" shapeId="0" xr:uid="{58E43EF2-63F1-47B2-96FC-C274232BDF95}">
      <text>
        <t>[Threaded comment]
Your version of Excel allows you to read this threaded comment; however, any edits to it will get removed if the file is opened in a newer version of Excel. Learn more: https://go.microsoft.com/fwlink/?linkid=870924
Comment:
    Not useable, HIV was not outcome in adjusted model.
Reply:
    Ok fair</t>
      </text>
    </comment>
    <comment ref="Y109" authorId="157" shapeId="0" xr:uid="{2BAB1C08-9271-48E8-B6EA-22009961F54A}">
      <text>
        <t>[Threaded comment]
Your version of Excel allows you to read this threaded comment; however, any edits to it will get removed if the file is opened in a newer version of Excel. Learn more: https://go.microsoft.com/fwlink/?linkid=870924
Comment:
    The table is confusing but I am pretty sure the denominator of 676 is the number of PLHIV, and 371 is the number of those who experienced PV, so that is how I did the calculations in the sheet</t>
      </text>
    </comment>
    <comment ref="AQ109" authorId="158" shapeId="0" xr:uid="{50BE63C0-2CDC-484C-BD4D-C31C54D2E2E9}">
      <text>
        <t>[Threaded comment]
Your version of Excel allows you to read this threaded comment; however, any edits to it will get removed if the file is opened in a newer version of Excel. Learn more: https://go.microsoft.com/fwlink/?linkid=870924
Comment:
    NOTE: outcome in the adjusted model is violence so it is not extracted, instead I calculate ORs manually</t>
      </text>
    </comment>
    <comment ref="Y110" authorId="159" shapeId="0" xr:uid="{CE419B0D-F3F4-4AAC-A8D3-97E0D4EEF82D}">
      <text>
        <t>[Threaded comment]
Your version of Excel allows you to read this threaded comment; however, any edits to it will get removed if the file is opened in a newer version of Excel. Learn more: https://go.microsoft.com/fwlink/?linkid=870924
Comment:
    The table is confusing but I am pretty sure the denominator of 676 is the number of PLHIV, and 371 is the number of those who experienced PV, so that is how I did the calculations in the sheet</t>
      </text>
    </comment>
    <comment ref="AQ110" authorId="160" shapeId="0" xr:uid="{8C1B2472-79C1-4807-A2C1-F233EDAE3F0F}">
      <text>
        <t>[Threaded comment]
Your version of Excel allows you to read this threaded comment; however, any edits to it will get removed if the file is opened in a newer version of Excel. Learn more: https://go.microsoft.com/fwlink/?linkid=870924
Comment:
    NOTE: outcome in the adjusted model is violence so it is not extracted, instead I calculate ORs manually</t>
      </text>
    </comment>
    <comment ref="Y111" authorId="161" shapeId="0" xr:uid="{432F2EE7-FB71-4F6B-B4E6-EEA7C6D923F0}">
      <text>
        <t>[Threaded comment]
Your version of Excel allows you to read this threaded comment; however, any edits to it will get removed if the file is opened in a newer version of Excel. Learn more: https://go.microsoft.com/fwlink/?linkid=870924
Comment:
    The table is confusing but I am pretty sure the denominator of 676 is the number of PLHIV, and 371 is the number of those who experienced PV, so that is how I did the calculations in the sheet</t>
      </text>
    </comment>
    <comment ref="Z111" authorId="162" shapeId="0" xr:uid="{C2866890-0D40-4B1C-B81E-81FDA2BE63F4}">
      <text>
        <t>[Threaded comment]
Your version of Excel allows you to read this threaded comment; however, any edits to it will get removed if the file is opened in a newer version of Excel. Learn more: https://go.microsoft.com/fwlink/?linkid=870924
Comment:
    I extracted this data for Belinda because I AM A GR8 GUY</t>
      </text>
    </comment>
    <comment ref="AQ111" authorId="163" shapeId="0" xr:uid="{2087F5FD-9E78-4973-BC9C-24BEE706695D}">
      <text>
        <t>[Threaded comment]
Your version of Excel allows you to read this threaded comment; however, any edits to it will get removed if the file is opened in a newer version of Excel. Learn more: https://go.microsoft.com/fwlink/?linkid=870924
Comment:
    NOTE: outcome in the adjusted model is violence so it is not extracted, instead I calculate ORs manually</t>
      </text>
    </comment>
    <comment ref="L112" authorId="164" shapeId="0" xr:uid="{AE0B9FF2-A8F9-44EE-96BF-A77B61D12DA8}">
      <text>
        <t>[Threaded comment]
Your version of Excel allows you to read this threaded comment; however, any edits to it will get removed if the file is opened in a newer version of Excel. Learn more: https://go.microsoft.com/fwlink/?linkid=870924
Comment:
    453 “Living with HIV” table 4</t>
      </text>
    </comment>
    <comment ref="BB112" authorId="165" shapeId="0" xr:uid="{34CB3925-8D93-473E-AE72-BB45AB11435B}">
      <text>
        <t>[Threaded comment]
Your version of Excel allows you to read this threaded comment; however, any edits to it will get removed if the file is opened in a newer version of Excel. Learn more: https://go.microsoft.com/fwlink/?linkid=870924
Comment:
    Not useable, HIV was not outcome in adjusted model.
Reply:
    ok</t>
      </text>
    </comment>
    <comment ref="L113" authorId="166" shapeId="0" xr:uid="{6B0D38DB-8812-4147-8FA9-F01465132932}">
      <text>
        <t>[Threaded comment]
Your version of Excel allows you to read this threaded comment; however, any edits to it will get removed if the file is opened in a newer version of Excel. Learn more: https://go.microsoft.com/fwlink/?linkid=870924
Comment:
    453 “Living with HIV” table 4</t>
      </text>
    </comment>
    <comment ref="L114" authorId="167" shapeId="0" xr:uid="{C9B78CB0-D806-48C0-AD9B-84EF2C8A0988}">
      <text>
        <t>[Threaded comment]
Your version of Excel allows you to read this threaded comment; however, any edits to it will get removed if the file is opened in a newer version of Excel. Learn more: https://go.microsoft.com/fwlink/?linkid=870924
Comment:
    462 “Ever tested for HIV” table 4</t>
      </text>
    </comment>
    <comment ref="L115" authorId="168" shapeId="0" xr:uid="{D67639CC-A123-41EA-9BF6-0A796AAF68CD}">
      <text>
        <t>[Threaded comment]
Your version of Excel allows you to read this threaded comment; however, any edits to it will get removed if the file is opened in a newer version of Excel. Learn more: https://go.microsoft.com/fwlink/?linkid=870924
Comment:
    462 “Ever tested for HIV” table 4</t>
      </text>
    </comment>
    <comment ref="A118" authorId="169" shapeId="0" xr:uid="{B209DF1E-B64C-4C81-A700-7874271C29CF}">
      <text>
        <t>[Threaded comment]
Your version of Excel allows you to read this threaded comment; however, any edits to it will get removed if the file is opened in a newer version of Excel. Learn more: https://go.microsoft.com/fwlink/?linkid=870924
Comment:
    Check if results for SW who are TGW are extracted?
Reply:
    There’s a Maclin study in the TGW spreadsheet
Reply:
    Have the TGW estimates been extracted for this study though? Josh can you check? You had included TGW estimates in the batch I had reviewed
Reply:
    I have now included it but it was a fucking nightmare</t>
      </text>
    </comment>
    <comment ref="AB118" authorId="170" shapeId="0" xr:uid="{8D8F90F0-9297-401B-A1D6-EEEB81526CF3}">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AB119" authorId="171" shapeId="0" xr:uid="{DEA8A383-C541-4D0B-A78F-12036AAE8512}">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AJ119" authorId="172" shapeId="0" xr:uid="{429544E2-8BD1-4B63-84B5-32310E79335E}">
      <text>
        <t>[Threaded comment]
Your version of Excel allows you to read this threaded comment; however, any edits to it will get removed if the file is opened in a newer version of Excel. Learn more: https://go.microsoft.com/fwlink/?linkid=870924
Comment:
    Perfect adherence vs not perfect adherence</t>
      </text>
    </comment>
    <comment ref="AB120" authorId="173" shapeId="0" xr:uid="{E2F8C200-3BCB-47A9-A2DB-6C3F846B8735}">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AB121" authorId="174" shapeId="0" xr:uid="{71A1B3B3-D0CD-4788-AC40-16B8FF7AC978}">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AJ121" authorId="175" shapeId="0" xr:uid="{CA2CEE52-4153-4CA5-BF2A-5361EBF0964F}">
      <text>
        <t>[Threaded comment]
Your version of Excel allows you to read this threaded comment; however, any edits to it will get removed if the file is opened in a newer version of Excel. Learn more: https://go.microsoft.com/fwlink/?linkid=870924
Comment:
    Perfect adherence vs not perfect adherence</t>
      </text>
    </comment>
    <comment ref="AJ123" authorId="176" shapeId="0" xr:uid="{65FBC01D-02C4-4C16-9686-9D9937977593}">
      <text>
        <t>[Threaded comment]
Your version of Excel allows you to read this threaded comment; however, any edits to it will get removed if the file is opened in a newer version of Excel. Learn more: https://go.microsoft.com/fwlink/?linkid=870924
Comment:
    Perfect adherence vs not perfect adherence</t>
      </text>
    </comment>
    <comment ref="AB124" authorId="177" shapeId="0" xr:uid="{9D9176CC-8229-4E90-98FB-5D639D13FE3B}">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AB125" authorId="178" shapeId="0" xr:uid="{274AF3CE-36B7-4CFF-AC14-5C73AEED4EFC}">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AB127" authorId="179" shapeId="0" xr:uid="{60E9D400-6CF3-41EA-B53B-47CFAE4CEDBC}">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AB128" authorId="180" shapeId="0" xr:uid="{DB4B3011-40BD-4C09-A179-9EF77958AB82}">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AW151" authorId="181" shapeId="0" xr:uid="{8E842826-8B10-4769-824D-EBFD3A1A91C1}">
      <text>
        <t>[Threaded comment]
Your version of Excel allows you to read this threaded comment; however, any edits to it will get removed if the file is opened in a newer version of Excel. Learn more: https://go.microsoft.com/fwlink/?linkid=870924
Comment:
    Presumably calculated using info stored in Calculations spreadsheet, although calculation not shown
Reply:
    Checked an looks okay
Reply:
    Added calcs</t>
      </text>
    </comment>
    <comment ref="L154" authorId="182" shapeId="0" xr:uid="{4A687737-06EC-429D-9805-0365E0A2BF90}">
      <text>
        <t>[Threaded comment]
Your version of Excel allows you to read this threaded comment; however, any edits to it will get removed if the file is opened in a newer version of Excel. Learn more: https://go.microsoft.com/fwlink/?linkid=870924
Comment:
    715</t>
      </text>
    </comment>
    <comment ref="L155" authorId="183" shapeId="0" xr:uid="{1CE82485-FDD1-4461-8069-AB9D91225EEB}">
      <text>
        <t>[Threaded comment]
Your version of Excel allows you to read this threaded comment; however, any edits to it will get removed if the file is opened in a newer version of Excel. Learn more: https://go.microsoft.com/fwlink/?linkid=870924
Comment:
    715</t>
      </text>
    </comment>
    <comment ref="AW155" authorId="184" shapeId="0" xr:uid="{99A903AC-01DA-4D9A-BAA8-D8D30BFD3546}">
      <text>
        <t>[Threaded comment]
Your version of Excel allows you to read this threaded comment; however, any edits to it will get removed if the file is opened in a newer version of Excel. Learn more: https://go.microsoft.com/fwlink/?linkid=870924
Comment:
    Prevalence ratios are reported, but these are ORs, so I presume a transformation has been done
Reply:
    Checked and looks okay.</t>
      </text>
    </comment>
    <comment ref="L156" authorId="185" shapeId="0" xr:uid="{D6FD9F89-6095-4830-A6DC-EA66CDF20738}">
      <text>
        <t>[Threaded comment]
Your version of Excel allows you to read this threaded comment; however, any edits to it will get removed if the file is opened in a newer version of Excel. Learn more: https://go.microsoft.com/fwlink/?linkid=870924
Comment:
    1112</t>
      </text>
    </comment>
    <comment ref="AA157" authorId="186" shapeId="0" xr:uid="{D465EF16-D869-4680-90FE-93E80DA3CB94}">
      <text>
        <t>[Threaded comment]
Your version of Excel allows you to read this threaded comment; however, any edits to it will get removed if the file is opened in a newer version of Excel. Learn more: https://go.microsoft.com/fwlink/?linkid=870924
Comment:
    Same here
Reply:
    fair</t>
      </text>
    </comment>
    <comment ref="AA158" authorId="187" shapeId="0" xr:uid="{17DD3B48-E264-469A-A534-3E2ABF624998}">
      <text>
        <t xml:space="preserve">[Threaded comment]
Your version of Excel allows you to read this threaded comment; however, any edits to it will get removed if the file is opened in a newer version of Excel. Learn more: https://go.microsoft.com/fwlink/?linkid=870924
Comment:
    I’m not clear about which exposure variable for sexual violence was used in the model - there are many mentioned
Reply:
    Fair I changed to SV
</t>
      </text>
    </comment>
    <comment ref="AB158" authorId="188" shapeId="0" xr:uid="{58AB08CE-BBD5-4288-981D-89C926AC4813}">
      <text>
        <t>[Threaded comment]
Your version of Excel allows you to read this threaded comment; however, any edits to it will get removed if the file is opened in a newer version of Excel. Learn more: https://go.microsoft.com/fwlink/?linkid=870924
Comment:
    I’m not clear about which exposure variable for sexual violence was used in the model - there are many mentioned
Reply:
    Fair, I think it’s just sexual violence</t>
      </text>
    </comment>
    <comment ref="AS159" authorId="189" shapeId="0" xr:uid="{47C4911D-2F75-466A-B4BA-3C22D2A8ABBD}">
      <text>
        <t>[Threaded comment]
Your version of Excel allows you to read this threaded comment; however, any edits to it will get removed if the file is opened in a newer version of Excel. Learn more: https://go.microsoft.com/fwlink/?linkid=870924
Comment:
    Calculations not actually shown in the Calculations spreadsheet despite there being the info there to calculate the OR
Reply:
    Checked and okay
Reply:
    Info is enough because I provided link to medcalc</t>
      </text>
    </comment>
    <comment ref="K160" authorId="190" shapeId="0" xr:uid="{940C0823-BD4D-42B3-AA35-B9392384C51E}">
      <text>
        <t>[Threaded comment]
Your version of Excel allows you to read this threaded comment; however, any edits to it will get removed if the file is opened in a newer version of Excel. Learn more: https://go.microsoft.com/fwlink/?linkid=870924
Comment:
    603</t>
      </text>
    </comment>
    <comment ref="A163" authorId="191" shapeId="0" xr:uid="{CB69214B-C9FC-492E-B5C5-3FE2EC0C7E02}">
      <text>
        <t>[Threaded comment]
Your version of Excel allows you to read this threaded comment; however, any edits to it will get removed if the file is opened in a newer version of Excel. Learn more: https://go.microsoft.com/fwlink/?linkid=870924
Comment:
    Unsure whether these should be included - the outcome is ART use among self-reported PLHIV
Reply:
    We are including this</t>
      </text>
    </comment>
    <comment ref="BB164" authorId="192" shapeId="0" xr:uid="{12E2840F-7295-4957-AEF7-13C79B107C18}">
      <text>
        <t>[Threaded comment]
Your version of Excel allows you to read this threaded comment; however, any edits to it will get removed if the file is opened in a newer version of Excel. Learn more: https://go.microsoft.com/fwlink/?linkid=870924
Comment:
    HIV is the exposure, so can’t use adjusted analyses
Reply:
    yep</t>
      </text>
    </comment>
    <comment ref="AA165" authorId="193" shapeId="0" xr:uid="{6077D12D-0822-4C1B-A082-34FDBDF12D7D}">
      <text>
        <t>[Threaded comment]
Your version of Excel allows you to read this threaded comment; however, any edits to it will get removed if the file is opened in a newer version of Excel. Learn more: https://go.microsoft.com/fwlink/?linkid=870924
Comment:
    It should be possible to use the results in tables 2 and 3 to create a variable for “Any violent experiences” which would be more useful than this
Reply:
    Table 3 is condom use
Reply:
    Table 4 is HIV but when I include it, I get an OR of 31.51. it’s a confusing study. Let’s discuss
Reply:
    Spoke to Jack and decided to keep as is because of adjusted ORs</t>
      </text>
    </comment>
    <comment ref="X172" authorId="194" shapeId="0" xr:uid="{ADBAF148-ADD0-44C3-AF0B-C5C6FC231511}">
      <text>
        <t>[Threaded comment]
Your version of Excel allows you to read this threaded comment; however, any edits to it will get removed if the file is opened in a newer version of Excel. Learn more: https://go.microsoft.com/fwlink/?linkid=870924
Comment:
    371=(0.166*1690)+(0.256*352) (table 3)</t>
      </text>
    </comment>
    <comment ref="Y172" authorId="195" shapeId="0" xr:uid="{87CD2E86-126F-4730-B08A-00696707FC6D}">
      <text>
        <t>[Threaded comment]
Your version of Excel allows you to read this threaded comment; however, any edits to it will get removed if the file is opened in a newer version of Excel. Learn more: https://go.microsoft.com/fwlink/?linkid=870924
Comment:
    0.182</t>
      </text>
    </comment>
    <comment ref="AW172" authorId="196" shapeId="0" xr:uid="{B4CAA7A8-6B34-4F0A-A761-6AAA51F51990}">
      <text>
        <t>[Threaded comment]
Your version of Excel allows you to read this threaded comment; however, any edits to it will get removed if the file is opened in a newer version of Excel. Learn more: https://go.microsoft.com/fwlink/?linkid=870924
Comment:
    I can’t see this
Reply:
    Checked and looks okay</t>
      </text>
    </comment>
    <comment ref="L177" authorId="197" shapeId="0" xr:uid="{46F5FAEE-282E-4AC9-BAE4-D56D2B5122BE}">
      <text>
        <t>[Threaded comment]
Your version of Excel allows you to read this threaded comment; however, any edits to it will get removed if the file is opened in a newer version of Excel. Learn more: https://go.microsoft.com/fwlink/?linkid=870924
Comment:
    163 (table 2)</t>
      </text>
    </comment>
    <comment ref="X177" authorId="198" shapeId="0" xr:uid="{C247FFCD-4359-4DD0-B9CB-ED39232E53B7}">
      <text>
        <t>[Threaded comment]
Your version of Excel allows you to read this threaded comment; however, any edits to it will get removed if the file is opened in a newer version of Excel. Learn more: https://go.microsoft.com/fwlink/?linkid=870924
Comment:
    163</t>
      </text>
    </comment>
    <comment ref="Y177" authorId="199" shapeId="0" xr:uid="{188C9F03-2E38-46F7-8960-661343A7455B}">
      <text>
        <t>[Threaded comment]
Your version of Excel allows you to read this threaded comment; however, any edits to it will get removed if the file is opened in a newer version of Excel. Learn more: https://go.microsoft.com/fwlink/?linkid=870924
Comment:
    1</t>
      </text>
    </comment>
    <comment ref="L178" authorId="200" shapeId="0" xr:uid="{BCCF40DB-6D92-4C6E-9343-3CFAE9FAD913}">
      <text>
        <t>[Threaded comment]
Your version of Excel allows you to read this threaded comment; however, any edits to it will get removed if the file is opened in a newer version of Excel. Learn more: https://go.microsoft.com/fwlink/?linkid=870924
Comment:
    249</t>
      </text>
    </comment>
    <comment ref="L179" authorId="201" shapeId="0" xr:uid="{B68461BF-A723-421C-82FF-83EB19F23351}">
      <text>
        <t>[Threaded comment]
Your version of Excel allows you to read this threaded comment; however, any edits to it will get removed if the file is opened in a newer version of Excel. Learn more: https://go.microsoft.com/fwlink/?linkid=870924
Comment:
    249</t>
      </text>
    </comment>
    <comment ref="L181" authorId="202" shapeId="0" xr:uid="{A6F03793-B884-4A97-A831-339F6EAA4EC5}">
      <text>
        <t>[Threaded comment]
Your version of Excel allows you to read this threaded comment; however, any edits to it will get removed if the file is opened in a newer version of Excel. Learn more: https://go.microsoft.com/fwlink/?linkid=870924
Comment:
    1295</t>
      </text>
    </comment>
    <comment ref="AW181" authorId="203" shapeId="0" xr:uid="{27F79CB6-51AC-4DF1-84B4-8DDE8BDCF5D9}">
      <text>
        <t>[Threaded comment]
Your version of Excel allows you to read this threaded comment; however, any edits to it will get removed if the file is opened in a newer version of Excel. Learn more: https://go.microsoft.com/fwlink/?linkid=870924
Comment:
    1.09 (0.97-1.22)</t>
      </text>
    </comment>
    <comment ref="K188" authorId="204" shapeId="0" xr:uid="{FC96265B-1784-4414-A44D-8FF495448F25}">
      <text>
        <t>[Threaded comment]
Your version of Excel allows you to read this threaded comment; however, any edits to it will get removed if the file is opened in a newer version of Excel. Learn more: https://go.microsoft.com/fwlink/?linkid=870924
Comment:
    “Data were collected on 4245 FSW recruited by respondent driven sampling (RDS).”</t>
      </text>
    </comment>
    <comment ref="L188" authorId="205" shapeId="0" xr:uid="{3FC56194-C8C0-4C5B-9B4F-885AFC6B3104}">
      <text>
        <t>[Threaded comment]
Your version of Excel allows you to read this threaded comment; however, any edits to it will get removed if the file is opened in a newer version of Excel. Learn more: https://go.microsoft.com/fwlink/?linkid=870924
Comment:
    “Data were collected on 4245 FSW recruited by respondent driven sampling (RDS).”</t>
      </text>
    </comment>
    <comment ref="X188" authorId="206" shapeId="0" xr:uid="{B4B5594F-3597-4CB9-98BA-2DF7AE10357D}">
      <text>
        <t>[Threaded comment]
Your version of Excel allows you to read this threaded comment; however, any edits to it will get removed if the file is opened in a newer version of Excel. Learn more: https://go.microsoft.com/fwlink/?linkid=870924
Comment:
    Back calculate from prevalence?</t>
      </text>
    </comment>
    <comment ref="Y188" authorId="207" shapeId="0" xr:uid="{11FCD21A-07F0-4BD4-B5A8-66F97F50990E}">
      <text>
        <t>[Threaded comment]
Your version of Excel allows you to read this threaded comment; however, any edits to it will get removed if the file is opened in a newer version of Excel. Learn more: https://go.microsoft.com/fwlink/?linkid=870924
Comment:
    0.053? “HIV prevalence was estimated as 5.3% with a 95% confidence interval (CI) (4.4%–6.2%).“</t>
      </text>
    </comment>
    <comment ref="K189" authorId="208" shapeId="0" xr:uid="{238EDB2C-16AF-4812-AD1B-6A07F1561048}">
      <text>
        <t>[Threaded comment]
Your version of Excel allows you to read this threaded comment; however, any edits to it will get removed if the file is opened in a newer version of Excel. Learn more: https://go.microsoft.com/fwlink/?linkid=870924
Comment:
    “Data were collected on 4245 FSW recruited by respondent driven sampling (RDS).”</t>
      </text>
    </comment>
    <comment ref="L189" authorId="209" shapeId="0" xr:uid="{E9D7F8BB-47CB-4D0B-B77C-B1AB387ABAC0}">
      <text>
        <t>[Threaded comment]
Your version of Excel allows you to read this threaded comment; however, any edits to it will get removed if the file is opened in a newer version of Excel. Learn more: https://go.microsoft.com/fwlink/?linkid=870924
Comment:
    “Data were collected on 4245 FSW recruited by respondent driven sampling (RDS).”</t>
      </text>
    </comment>
    <comment ref="X189" authorId="210" shapeId="0" xr:uid="{397E0321-6508-471E-8C40-2D5D16A0D0DD}">
      <text>
        <t>[Threaded comment]
Your version of Excel allows you to read this threaded comment; however, any edits to it will get removed if the file is opened in a newer version of Excel. Learn more: https://go.microsoft.com/fwlink/?linkid=870924
Comment:
    Back calculate from prevalence?</t>
      </text>
    </comment>
    <comment ref="Y189" authorId="211" shapeId="0" xr:uid="{586E2BF3-6B79-4E45-9DD6-696F2DA503A8}">
      <text>
        <t>[Threaded comment]
Your version of Excel allows you to read this threaded comment; however, any edits to it will get removed if the file is opened in a newer version of Excel. Learn more: https://go.microsoft.com/fwlink/?linkid=870924
Comment:
    0.053? “HIV prevalence was estimated as 5.3% with a 95% confidence interval (CI) (4.4%–6.2%).“</t>
      </text>
    </comment>
    <comment ref="Y196" authorId="212" shapeId="0" xr:uid="{4C5CBF93-98BA-4F0A-A373-2ABD7A4802AE}">
      <text>
        <t>[Threaded comment]
Your version of Excel allows you to read this threaded comment; however, any edits to it will get removed if the file is opened in a newer version of Excel. Learn more: https://go.microsoft.com/fwlink/?linkid=870924
Comment:
    I could only see “The adjusted prevalence of HIV was 3.2% (95% CI 1.76–5.75).“
Reply:
    Table 1 shows 72 hiv+. Ask Jack whether we use adjusted or unadjusted</t>
      </text>
    </comment>
    <comment ref="Y197" authorId="213" shapeId="0" xr:uid="{EAC91F3F-7C39-46E7-A671-022EE9C432E8}">
      <text>
        <t>[Threaded comment]
Your version of Excel allows you to read this threaded comment; however, any edits to it will get removed if the file is opened in a newer version of Excel. Learn more: https://go.microsoft.com/fwlink/?linkid=870924
Comment:
    I could only see “The adjusted prevalence of HIV was 3.2% (95% CI 1.76–5.75).“</t>
      </text>
    </comment>
    <comment ref="W198" authorId="214" shapeId="0" xr:uid="{D5246593-83D9-4F63-AF84-0C07CCEA2FD2}">
      <text>
        <t>[Threaded comment]
Your version of Excel allows you to read this threaded comment; however, any edits to it will get removed if the file is opened in a newer version of Excel. Learn more: https://go.microsoft.com/fwlink/?linkid=870924
Comment:
    1</t>
      </text>
    </comment>
    <comment ref="L200" authorId="215" shapeId="0" xr:uid="{8CDBE460-13EB-43C2-A98F-F69542CBDF14}">
      <text>
        <t>[Threaded comment]
Your version of Excel allows you to read this threaded comment; however, any edits to it will get removed if the file is opened in a newer version of Excel. Learn more: https://go.microsoft.com/fwlink/?linkid=870924
Comment:
    1906</t>
      </text>
    </comment>
    <comment ref="L201" authorId="216" shapeId="0" xr:uid="{39D94DCB-4EA2-4EAC-BC5D-638D944E5484}">
      <text>
        <t>[Threaded comment]
Your version of Excel allows you to read this threaded comment; however, any edits to it will get removed if the file is opened in a newer version of Excel. Learn more: https://go.microsoft.com/fwlink/?linkid=870924
Comment:
    1906</t>
      </text>
    </comment>
    <comment ref="L202" authorId="217" shapeId="0" xr:uid="{A7F673B4-3951-475E-8A2D-ECE448A607F4}">
      <text>
        <t>[Threaded comment]
Your version of Excel allows you to read this threaded comment; however, any edits to it will get removed if the file is opened in a newer version of Excel. Learn more: https://go.microsoft.com/fwlink/?linkid=870924
Comment:
    283</t>
      </text>
    </comment>
    <comment ref="L203" authorId="218" shapeId="0" xr:uid="{A1169F2E-CCC0-441D-9D11-EC542DC6F8CC}">
      <text>
        <t>[Threaded comment]
Your version of Excel allows you to read this threaded comment; however, any edits to it will get removed if the file is opened in a newer version of Excel. Learn more: https://go.microsoft.com/fwlink/?linkid=870924
Comment:
    283</t>
      </text>
    </comment>
    <comment ref="L204" authorId="219" shapeId="0" xr:uid="{980DB0A1-3ECF-43D0-94E0-B26E593CBB30}">
      <text>
        <t>[Threaded comment]
Your version of Excel allows you to read this threaded comment; however, any edits to it will get removed if the file is opened in a newer version of Excel. Learn more: https://go.microsoft.com/fwlink/?linkid=870924
Comment:
    283</t>
      </text>
    </comment>
    <comment ref="L205" authorId="220" shapeId="0" xr:uid="{D4214686-9E59-4893-8E65-E4AAC2797F6F}">
      <text>
        <t>[Threaded comment]
Your version of Excel allows you to read this threaded comment; however, any edits to it will get removed if the file is opened in a newer version of Excel. Learn more: https://go.microsoft.com/fwlink/?linkid=870924
Comment:
    186</t>
      </text>
    </comment>
    <comment ref="AB205" authorId="221" shapeId="0" xr:uid="{E29618A0-227F-458C-B134-672C61D3445E}">
      <text>
        <t>[Threaded comment]
Your version of Excel allows you to read this threaded comment; however, any edits to it will get removed if the file is opened in a newer version of Excel. Learn more: https://go.microsoft.com/fwlink/?linkid=870924
Comment:
    These are among TGWSW - has this separate extraction been done consistently in other studies?
Reply:
    Will check with Jack</t>
      </text>
    </comment>
    <comment ref="L206" authorId="222" shapeId="0" xr:uid="{C86BBED3-ABFD-4C4E-B9A8-FD3FC798F331}">
      <text>
        <t>[Threaded comment]
Your version of Excel allows you to read this threaded comment; however, any edits to it will get removed if the file is opened in a newer version of Excel. Learn more: https://go.microsoft.com/fwlink/?linkid=870924
Comment:
    186</t>
      </text>
    </comment>
    <comment ref="L207" authorId="223" shapeId="0" xr:uid="{57A4AA0E-4A97-4E21-A76F-91FC0EDBCA5D}">
      <text>
        <t>[Threaded comment]
Your version of Excel allows you to read this threaded comment; however, any edits to it will get removed if the file is opened in a newer version of Excel. Learn more: https://go.microsoft.com/fwlink/?linkid=870924
Comment:
    186</t>
      </text>
    </comment>
    <comment ref="L208" authorId="224" shapeId="0" xr:uid="{35E04418-A688-4190-B0E9-847AB8C8753D}">
      <text>
        <t>[Threaded comment]
Your version of Excel allows you to read this threaded comment; however, any edits to it will get removed if the file is opened in a newer version of Excel. Learn more: https://go.microsoft.com/fwlink/?linkid=870924
Comment:
    283</t>
      </text>
    </comment>
    <comment ref="AB208" authorId="225" shapeId="0" xr:uid="{1A06BBC8-99D8-4072-A7BE-6D0B18CD8C6C}">
      <text>
        <t>[Threaded comment]
Your version of Excel allows you to read this threaded comment; however, any edits to it will get removed if the file is opened in a newer version of Excel. Learn more: https://go.microsoft.com/fwlink/?linkid=870924
Comment:
    CWSW</t>
      </text>
    </comment>
    <comment ref="L209" authorId="226" shapeId="0" xr:uid="{D46CDA10-2000-41D2-99D4-8E0602382057}">
      <text>
        <t>[Threaded comment]
Your version of Excel allows you to read this threaded comment; however, any edits to it will get removed if the file is opened in a newer version of Excel. Learn more: https://go.microsoft.com/fwlink/?linkid=870924
Comment:
    186</t>
      </text>
    </comment>
    <comment ref="L210" authorId="227" shapeId="0" xr:uid="{9C562C76-0635-44F8-BDEE-2B3389525D6B}">
      <text>
        <t>[Threaded comment]
Your version of Excel allows you to read this threaded comment; however, any edits to it will get removed if the file is opened in a newer version of Excel. Learn more: https://go.microsoft.com/fwlink/?linkid=870924
Comment:
    186</t>
      </text>
    </comment>
    <comment ref="AB210" authorId="228" shapeId="0" xr:uid="{B67BE7C5-C1BD-4C45-B591-19AC259A0310}">
      <text>
        <t>[Threaded comment]
Your version of Excel allows you to read this threaded comment; however, any edits to it will get removed if the file is opened in a newer version of Excel. Learn more: https://go.microsoft.com/fwlink/?linkid=870924
Comment:
    TGWSW</t>
      </text>
    </comment>
    <comment ref="L216" authorId="229" shapeId="0" xr:uid="{3858B61E-80A5-4217-B77A-CCC9D8BFE6FA}">
      <text>
        <t>[Threaded comment]
Your version of Excel allows you to read this threaded comment; however, any edits to it will get removed if the file is opened in a newer version of Excel. Learn more: https://go.microsoft.com/fwlink/?linkid=870924
Comment:
    356</t>
      </text>
    </comment>
    <comment ref="AJ216" authorId="230" shapeId="0" xr:uid="{292A856B-4CE6-4BF6-A744-0ED052ACDB39}">
      <text>
        <t>[Threaded comment]
Your version of Excel allows you to read this threaded comment; however, any edits to it will get removed if the file is opened in a newer version of Excel. Learn more: https://go.microsoft.com/fwlink/?linkid=870924
Comment:
    There is also data on CD4 count &lt; 350 cells/ul
Reply:
    We dont want that</t>
      </text>
    </comment>
    <comment ref="AS216" authorId="231" shapeId="0" xr:uid="{A538866C-89A5-473E-8F3B-CDD1BDBE2EC7}">
      <text>
        <t>[Threaded comment]
Your version of Excel allows you to read this threaded comment; however, any edits to it will get removed if the file is opened in a newer version of Excel. Learn more: https://go.microsoft.com/fwlink/?linkid=870924
Comment:
    This is slightly different to that reported in the paper 0.86 (0.58-1.53). The paper notes there are 356 with data on ART, but the calculation has 357 as the denominator
Reply:
    Will use what is in the paper</t>
      </text>
    </comment>
    <comment ref="AW216" authorId="232" shapeId="0" xr:uid="{0BEB4F66-44F8-452F-A77E-C13372461512}">
      <text>
        <t>[Threaded comment]
Your version of Excel allows you to read this threaded comment; however, any edits to it will get removed if the file is opened in a newer version of Excel. Learn more: https://go.microsoft.com/fwlink/?linkid=870924
Comment:
    This is slightly different to that reported in the paper 0.86 (0.58-1.53). The paper notes there are 356 with data on ART, but the calculation has 357 as the denominator
Reply:
    Will use what is in the paper</t>
      </text>
    </comment>
    <comment ref="L219" authorId="233" shapeId="0" xr:uid="{55519A8B-66F1-4460-AD6C-EFBAD088DA2C}">
      <text>
        <t>[Threaded comment]
Your version of Excel allows you to read this threaded comment; however, any edits to it will get removed if the file is opened in a newer version of Excel. Learn more: https://go.microsoft.com/fwlink/?linkid=870924
Comment:
    958</t>
      </text>
    </comment>
    <comment ref="L220" authorId="234" shapeId="0" xr:uid="{5BC8F462-9D70-4383-82B3-1773101CCA2A}">
      <text>
        <t>[Threaded comment]
Your version of Excel allows you to read this threaded comment; however, any edits to it will get removed if the file is opened in a newer version of Excel. Learn more: https://go.microsoft.com/fwlink/?linkid=870924
Comment:
    958</t>
      </text>
    </comment>
    <comment ref="L221" authorId="235" shapeId="0" xr:uid="{CC904001-032B-4B72-B329-5D6E2173ADEE}">
      <text>
        <t>[Threaded comment]
Your version of Excel allows you to read this threaded comment; however, any edits to it will get removed if the file is opened in a newer version of Excel. Learn more: https://go.microsoft.com/fwlink/?linkid=870924
Comment:
    937</t>
      </text>
    </comment>
    <comment ref="L222" authorId="236" shapeId="0" xr:uid="{A74F3F70-F7D7-48F9-A871-46F055A588F2}">
      <text>
        <t>[Threaded comment]
Your version of Excel allows you to read this threaded comment; however, any edits to it will get removed if the file is opened in a newer version of Excel. Learn more: https://go.microsoft.com/fwlink/?linkid=870924
Comment:
    740</t>
      </text>
    </comment>
    <comment ref="L223" authorId="237" shapeId="0" xr:uid="{789FF504-3E8E-486F-97E3-8B97C7BDF7CD}">
      <text>
        <t>[Threaded comment]
Your version of Excel allows you to read this threaded comment; however, any edits to it will get removed if the file is opened in a newer version of Excel. Learn more: https://go.microsoft.com/fwlink/?linkid=870924
Comment:
    937</t>
      </text>
    </comment>
    <comment ref="L225" authorId="238" shapeId="0" xr:uid="{F9CD37FE-3B73-48E9-8D33-F153AB42EC13}">
      <text>
        <t>[Threaded comment]
Your version of Excel allows you to read this threaded comment; however, any edits to it will get removed if the file is opened in a newer version of Excel. Learn more: https://go.microsoft.com/fwlink/?linkid=870924
Comment:
    735</t>
      </text>
    </comment>
    <comment ref="L226" authorId="239" shapeId="0" xr:uid="{FAD2C12C-D163-4465-B27A-15F1F4A037DF}">
      <text>
        <t>[Threaded comment]
Your version of Excel allows you to read this threaded comment; however, any edits to it will get removed if the file is opened in a newer version of Excel. Learn more: https://go.microsoft.com/fwlink/?linkid=870924
Comment:
    735</t>
      </text>
    </comment>
    <comment ref="L227" authorId="240" shapeId="0" xr:uid="{82578D19-7394-4157-8AD4-0B3777DC7B48}">
      <text>
        <t>[Threaded comment]
Your version of Excel allows you to read this threaded comment; however, any edits to it will get removed if the file is opened in a newer version of Excel. Learn more: https://go.microsoft.com/fwlink/?linkid=870924
Comment:
    937</t>
      </text>
    </comment>
    <comment ref="L228" authorId="241" shapeId="0" xr:uid="{02D548A8-CEC1-42B7-8CC9-BFF35A1AEEF0}">
      <text>
        <t>[Threaded comment]
Your version of Excel allows you to read this threaded comment; however, any edits to it will get removed if the file is opened in a newer version of Excel. Learn more: https://go.microsoft.com/fwlink/?linkid=870924
Comment:
    739</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tc={D9258A24-17BD-4DAE-81AB-0EDF0A382373}</author>
    <author>tc={F9D8A5AB-17DE-4CDA-9D17-3336AFB1ABAB}</author>
    <author>tc={98E7BD32-6065-4F48-AD23-FCD9995C30DF}</author>
    <author>tc={F3247B3B-4BC2-431C-B93F-2FE00EF12D7A}</author>
    <author>tc={39DBEBBF-BBAF-4CE1-933C-D43933871A66}</author>
    <author>tc={9AFF2630-EFD1-44AA-8FF3-E97722917238}</author>
    <author>tc={24407635-442B-4EF2-9D2D-06AFC07ED625}</author>
    <author>tc={5940FAF5-A979-45E5-A985-BEE5323F1720}</author>
    <author>tc={4C0B7349-EAF6-4147-B452-EE4D3B940992}</author>
    <author>tc={9FA8490B-643E-48E3-90E5-B13DF6D82A19}</author>
    <author>tc={3CD76FFD-6233-43A3-A5E1-6133D1573864}</author>
    <author>tc={86811C32-B1D9-488B-AC08-E762D2B8EBAF}</author>
    <author>tc={856CD5B8-9F16-4836-B193-41327CF76BE0}</author>
    <author>tc={E6BA34D2-1998-4598-816E-1364F6668329}</author>
    <author>tc={C08E3C88-8CE4-401F-AAA7-B588A3C7F219}</author>
    <author>tc={0312B632-FD44-4CE0-9AE4-89871E814D2F}</author>
    <author>tc={1AB542CC-C755-4724-92AB-CC11782C5524}</author>
    <author>tc={5BC92E73-14BA-435C-ABB7-CC9756573656}</author>
  </authors>
  <commentList>
    <comment ref="K2" authorId="0" shapeId="0" xr:uid="{D9258A24-17BD-4DAE-81AB-0EDF0A382373}">
      <text>
        <t>[Threaded comment]
Your version of Excel allows you to read this threaded comment; however, any edits to it will get removed if the file is opened in a newer version of Excel. Learn more: https://go.microsoft.com/fwlink/?linkid=870924
Comment:
    Calculated from findings</t>
      </text>
    </comment>
    <comment ref="L2" authorId="1" shapeId="0" xr:uid="{F9D8A5AB-17DE-4CDA-9D17-3336AFB1ABAB}">
      <text>
        <t>[Threaded comment]
Your version of Excel allows you to read this threaded comment; however, any edits to it will get removed if the file is opened in a newer version of Excel. Learn more: https://go.microsoft.com/fwlink/?linkid=870924
Comment:
    Calculated from table 2</t>
      </text>
    </comment>
    <comment ref="X2" authorId="2" shapeId="0" xr:uid="{98E7BD32-6065-4F48-AD23-FCD9995C30DF}">
      <text>
        <t>[Threaded comment]
Your version of Excel allows you to read this threaded comment; however, any edits to it will get removed if the file is opened in a newer version of Excel. Learn more: https://go.microsoft.com/fwlink/?linkid=870924
Comment:
    Calculated from table 2, in calculations tab</t>
      </text>
    </comment>
    <comment ref="AR2" authorId="3" shapeId="0" xr:uid="{F3247B3B-4BC2-431C-B93F-2FE00EF12D7A}">
      <text>
        <t>[Threaded comment]
Your version of Excel allows you to read this threaded comment; however, any edits to it will get removed if the file is opened in a newer version of Excel. Learn more: https://go.microsoft.com/fwlink/?linkid=870924
Comment:
    I used Table 3 for this estimate because there isn't one for all four survey years in Table 4
Reply:
    I think this is a coefficient not an OR as some others in the table are negative</t>
      </text>
    </comment>
    <comment ref="AS2" authorId="4" shapeId="0" xr:uid="{39DBEBBF-BBAF-4CE1-933C-D43933871A66}">
      <text>
        <t>[Threaded comment]
Your version of Excel allows you to read this threaded comment; however, any edits to it will get removed if the file is opened in a newer version of Excel. Learn more: https://go.microsoft.com/fwlink/?linkid=870924
Comment:
    Calculated from P-value, in calculations tab</t>
      </text>
    </comment>
    <comment ref="BA2" authorId="5" shapeId="0" xr:uid="{9AFF2630-EFD1-44AA-8FF3-E97722917238}">
      <text>
        <t>[Threaded comment]
Your version of Excel allows you to read this threaded comment; however, any edits to it will get removed if the file is opened in a newer version of Excel. Learn more: https://go.microsoft.com/fwlink/?linkid=870924
Comment:
    I used Table 3 for this estimate because there isn't one for all four survey years in Table 4
Reply:
    I think this is a coefficient not an OR as some others in the table are negative</t>
      </text>
    </comment>
    <comment ref="BB2" authorId="6" shapeId="0" xr:uid="{24407635-442B-4EF2-9D2D-06AFC07ED625}">
      <text>
        <t>[Threaded comment]
Your version of Excel allows you to read this threaded comment; however, any edits to it will get removed if the file is opened in a newer version of Excel. Learn more: https://go.microsoft.com/fwlink/?linkid=870924
Comment:
    Calculated from P-value, in calculations tab</t>
      </text>
    </comment>
    <comment ref="K3" authorId="7" shapeId="0" xr:uid="{5940FAF5-A979-45E5-A985-BEE5323F1720}">
      <text>
        <t>[Threaded comment]
Your version of Excel allows you to read this threaded comment; however, any edits to it will get removed if the file is opened in a newer version of Excel. Learn more: https://go.microsoft.com/fwlink/?linkid=870924
Comment:
    Calculated from findings</t>
      </text>
    </comment>
    <comment ref="X3" authorId="8" shapeId="0" xr:uid="{4C0B7349-EAF6-4147-B452-EE4D3B940992}">
      <text>
        <t>[Threaded comment]
Your version of Excel allows you to read this threaded comment; however, any edits to it will get removed if the file is opened in a newer version of Excel. Learn more: https://go.microsoft.com/fwlink/?linkid=870924
Comment:
    Calculated from table 2, in calculations tab</t>
      </text>
    </comment>
    <comment ref="AR3" authorId="9" shapeId="0" xr:uid="{9FA8490B-643E-48E3-90E5-B13DF6D82A19}">
      <text>
        <t>[Threaded comment]
Your version of Excel allows you to read this threaded comment; however, any edits to it will get removed if the file is opened in a newer version of Excel. Learn more: https://go.microsoft.com/fwlink/?linkid=870924
Comment:
    Calculated from table 4
Reply:
    I think this is a coefficient not an OR as some others in the table are negative</t>
      </text>
    </comment>
    <comment ref="BA3" authorId="10" shapeId="0" xr:uid="{3CD76FFD-6233-43A3-A5E1-6133D1573864}">
      <text>
        <t>[Threaded comment]
Your version of Excel allows you to read this threaded comment; however, any edits to it will get removed if the file is opened in a newer version of Excel. Learn more: https://go.microsoft.com/fwlink/?linkid=870924
Comment:
    Calculated from table 4
Reply:
    I think this is a coefficient not an OR as some others in the table are negative</t>
      </text>
    </comment>
    <comment ref="X4" authorId="11" shapeId="0" xr:uid="{86811C32-B1D9-488B-AC08-E762D2B8EBAF}">
      <text>
        <t>[Threaded comment]
Your version of Excel allows you to read this threaded comment; however, any edits to it will get removed if the file is opened in a newer version of Excel. Learn more: https://go.microsoft.com/fwlink/?linkid=870924
Comment:
    The table is confusing but I am pretty sure the denominator of 676 is the number of PLHIV, and 371 is the number of those who experienced PV, so that is how I did the calculations in the sheet</t>
      </text>
    </comment>
    <comment ref="AP4" authorId="12" shapeId="0" xr:uid="{856CD5B8-9F16-4836-B193-41327CF76BE0}">
      <text>
        <t>[Threaded comment]
Your version of Excel allows you to read this threaded comment; however, any edits to it will get removed if the file is opened in a newer version of Excel. Learn more: https://go.microsoft.com/fwlink/?linkid=870924
Comment:
    NOTE: outcome in the adjusted model is violence so it is not extracted, instead I calculate ORs manually</t>
      </text>
    </comment>
    <comment ref="X5" authorId="13" shapeId="0" xr:uid="{E6BA34D2-1998-4598-816E-1364F6668329}">
      <text>
        <t>[Threaded comment]
Your version of Excel allows you to read this threaded comment; however, any edits to it will get removed if the file is opened in a newer version of Excel. Learn more: https://go.microsoft.com/fwlink/?linkid=870924
Comment:
    The table is confusing but I am pretty sure the denominator of 676 is the number of PLHIV, and 371 is the number of those who experienced PV, so that is how I did the calculations in the sheet</t>
      </text>
    </comment>
    <comment ref="AP5" authorId="14" shapeId="0" xr:uid="{C08E3C88-8CE4-401F-AAA7-B588A3C7F219}">
      <text>
        <t>[Threaded comment]
Your version of Excel allows you to read this threaded comment; however, any edits to it will get removed if the file is opened in a newer version of Excel. Learn more: https://go.microsoft.com/fwlink/?linkid=870924
Comment:
    NOTE: outcome in the adjusted model is violence so it is not extracted, instead I calculate ORs manually</t>
      </text>
    </comment>
    <comment ref="X6" authorId="15" shapeId="0" xr:uid="{0312B632-FD44-4CE0-9AE4-89871E814D2F}">
      <text>
        <t>[Threaded comment]
Your version of Excel allows you to read this threaded comment; however, any edits to it will get removed if the file is opened in a newer version of Excel. Learn more: https://go.microsoft.com/fwlink/?linkid=870924
Comment:
    The table is confusing but I am pretty sure the denominator of 676 is the number of PLHIV, and 371 is the number of those who experienced PV, so that is how I did the calculations in the sheet</t>
      </text>
    </comment>
    <comment ref="Y6" authorId="16" shapeId="0" xr:uid="{1AB542CC-C755-4724-92AB-CC11782C5524}">
      <text>
        <t>[Threaded comment]
Your version of Excel allows you to read this threaded comment; however, any edits to it will get removed if the file is opened in a newer version of Excel. Learn more: https://go.microsoft.com/fwlink/?linkid=870924
Comment:
    I extracted this data for Belinda because I AM A GR8 GUY</t>
      </text>
    </comment>
    <comment ref="AP6" authorId="17" shapeId="0" xr:uid="{5BC92E73-14BA-435C-ABB7-CC9756573656}">
      <text>
        <t>[Threaded comment]
Your version of Excel allows you to read this threaded comment; however, any edits to it will get removed if the file is opened in a newer version of Excel. Learn more: https://go.microsoft.com/fwlink/?linkid=870924
Comment:
    NOTE: outcome in the adjusted model is violence so it is not extracted, instead I calculate ORs manually</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tc={79A204CC-29DD-4B81-9E96-963CCBEDE9ED}</author>
    <author>tc={46A14AE1-D683-46B0-8B18-3B74ABA5B7EA}</author>
    <author>tc={07DB49DC-A6E2-49DE-A2BD-FA18CFAF38AC}</author>
    <author>tc={3919F194-8744-4143-9540-D579493648A2}</author>
    <author>tc={E8E3E872-4A33-415E-8130-9CACA94BB953}</author>
    <author>tc={9900B477-43A0-48FD-B346-80A749B073E3}</author>
    <author>tc={AA96F64E-BC68-4E44-BFF7-0A222D6B7810}</author>
    <author>tc={EE590A79-FFEA-446C-B302-2B8C035CBA43}</author>
    <author>tc={1898650C-52D4-4B82-A013-38170DB3B24F}</author>
    <author>tc={063B1B6A-5D38-4288-BC26-C677E2605911}</author>
    <author>tc={323D8A84-47EA-42F6-99B8-8C9A91D68549}</author>
    <author>tc={B5757C82-3C16-40EA-89B5-D7DC82BC3F42}</author>
    <author>tc={35117441-0741-43A9-B48E-1415C6679C9E}</author>
    <author>tc={03EA5BB2-C9E8-47AB-B06B-C2EC6614009C}</author>
    <author>tc={7410EF88-9F3D-431F-92EC-CDFEC7CEBD9C}</author>
    <author>tc={CCB60C71-2BEA-406D-9ECC-551748439923}</author>
    <author>tc={3F31D8A4-292E-4E82-8B97-233AE2B9472A}</author>
    <author>tc={14E8DB33-0469-49E5-9C1D-AC5DD9321FF7}</author>
    <author>tc={28FB0A1F-9DF8-40E2-A412-DD22EE72586B}</author>
    <author>tc={A8444C17-DA01-49D1-9BA2-84A1E39D2DB0}</author>
    <author>tc={94552191-A0D9-4D69-B6F0-AD5DBCA39AF8}</author>
    <author>tc={D589B66F-4040-4FC6-8940-C8DDDCB11586}</author>
    <author>tc={FBDA8BE2-4DE9-4D9F-9227-376C3C9B5C52}</author>
    <author>tc={11893743-5C7A-4B17-A1E3-B70739E62B15}</author>
    <author>tc={754F9E39-88B8-4359-AD3D-70CF441235B1}</author>
    <author>tc={8C0B3C2B-3F68-4FBF-9121-6ABB29E58BF7}</author>
    <author>tc={1D2FFEA3-BBCE-47B6-A9F1-79B21B9165AC}</author>
    <author>tc={DA491720-E0F1-4D16-81E7-2695A4BF2815}</author>
    <author>tc={B32E1B76-5621-47CE-BEDF-20E3930C9492}</author>
    <author>tc={9C839C2A-45BA-491E-A411-6CF93DD0E8C6}</author>
    <author>tc={1542F212-7AB6-4583-BCBA-B6FAD3E43F98}</author>
    <author>tc={16BDD0F4-4929-4170-9AEC-5C53361F8F3D}</author>
    <author>tc={12A9C8B0-4C08-4F86-A338-FB991AFC9B29}</author>
    <author>tc={E20E5B4E-4B18-477A-874A-D360E88C111F}</author>
    <author>tc={4C5AA351-AE09-48F0-83E4-0D544BEFF78D}</author>
    <author>tc={10F3ED72-E2C7-4037-8E1E-0AC1B75609FD}</author>
    <author>tc={F69C3E4B-68E3-4D03-A1C6-AF1F6C5AA02B}</author>
    <author>tc={07B57C82-6370-440A-8FAB-CF75FCFCB36A}</author>
    <author>tc={F097EE77-4843-464A-9D25-8D8D2089CCF7}</author>
    <author>tc={4A776813-5A68-4036-A03F-CC2E5BBA0FBE}</author>
    <author>tc={30C56C29-71EF-40AF-857D-A21DA8FEA2DE}</author>
    <author>tc={F8B0248B-512A-452F-9F2F-C43425CD05F1}</author>
    <author>tc={6BD1EDC6-92A6-46FC-9ADE-5FF16C1DA742}</author>
    <author>tc={1BFBBB59-0D86-4A08-A279-737B4397E687}</author>
    <author>tc={C8B9E990-29C6-412B-93C2-861841728934}</author>
    <author>tc={AD2B4BA0-E702-4056-8214-58252615B9B0}</author>
    <author>tc={5EC48786-EFC5-4B61-933B-8618FF26E592}</author>
    <author>tc={4D088AF8-81AC-4577-82F3-7838EA36CB25}</author>
    <author>tc={0D13B29B-A147-41EE-805D-5443E591DE88}</author>
    <author>tc={B23A79C8-705B-4B33-B332-D33E8C318A3B}</author>
    <author>tc={1063FA97-4223-4741-8BC0-3877FACAD746}</author>
    <author>tc={0F7D18CD-FC29-4B1B-8333-95B352C84B82}</author>
    <author>tc={7157E8DD-48E7-46F5-9CF6-6FE04D7334D5}</author>
    <author>tc={ABF5D11E-539D-48EA-9FE7-4F7E77E2D70E}</author>
    <author>tc={B13C918D-A450-452F-BF5D-B76906CA8D41}</author>
  </authors>
  <commentList>
    <comment ref="G3" authorId="0" shapeId="0" xr:uid="{79A204CC-29DD-4B81-9E96-963CCBEDE9ED}">
      <text>
        <t>[Threaded comment]
Your version of Excel allows you to read this threaded comment; however, any edits to it will get removed if the file is opened in a newer version of Excel. Learn more: https://go.microsoft.com/fwlink/?linkid=870924
Comment:
    articipants in this study
were initially recruited at the three private or public
health centres oﬀering adapted healthcare (AHC) for
FSW that existed at that time in Conakry.</t>
      </text>
    </comment>
    <comment ref="I4" authorId="1" shapeId="0" xr:uid="{46A14AE1-D683-46B0-8B18-3B74ABA5B7EA}">
      <text>
        <t>[Threaded comment]
Your version of Excel allows you to read this threaded comment; however, any edits to it will get removed if the file is opened in a newer version of Excel. Learn more: https://go.microsoft.com/fwlink/?linkid=870924
Comment:
    In methods "*Experience of violence, stigma and discrimination*"
Reply:
    So should the classification be other?</t>
      </text>
    </comment>
    <comment ref="G5" authorId="2" shapeId="0" xr:uid="{07DB49DC-A6E2-49DE-A2BD-FA18CFAF38AC}">
      <text>
        <t>[Threaded comment]
Your version of Excel allows you to read this threaded comment; however, any edits to it will get removed if the file is opened in a newer version of Excel. Learn more: https://go.microsoft.com/fwlink/?linkid=870924
Comment:
    According to methods in appendix miltiple methods used: 
The rationale for district selection has
been described extensively by Saidel et al,
3 with standard cluster sampling, time-location cluster
sampling or respondent-driven sampling used for FSW selection, depending on the local sex work
typology (multiple sampling methods could be used within the same district)</t>
      </text>
    </comment>
    <comment ref="G6" authorId="3" shapeId="0" xr:uid="{3919F194-8744-4143-9540-D579493648A2}">
      <text>
        <t>[Threaded comment]
Your version of Excel allows you to read this threaded comment; however, any edits to it will get removed if the file is opened in a newer version of Excel. Learn more: https://go.microsoft.com/fwlink/?linkid=870924
Comment:
    Systematic random sampling (supposedly)</t>
      </text>
    </comment>
    <comment ref="K8" authorId="4" shapeId="0" xr:uid="{E8E3E872-4A33-415E-8130-9CACA94BB953}">
      <text>
        <t>[Threaded comment]
Your version of Excel allows you to read this threaded comment; however, any edits to it will get removed if the file is opened in a newer version of Excel. Learn more: https://go.microsoft.com/fwlink/?linkid=870924
Comment:
    Ever (Since starting sex work)</t>
      </text>
    </comment>
    <comment ref="A18" authorId="5" shapeId="0" xr:uid="{9900B477-43A0-48FD-B346-80A749B073E3}">
      <text>
        <t>[Threaded comment]
Your version of Excel allows you to read this threaded comment; however, any edits to it will get removed if the file is opened in a newer version of Excel. Learn more: https://go.microsoft.com/fwlink/?linkid=870924
Comment:
    From table 3 can also extract effect for ever testing</t>
      </text>
    </comment>
    <comment ref="K18" authorId="6" shapeId="0" xr:uid="{AA96F64E-BC68-4E44-BFF7-0A222D6B7810}">
      <text>
        <t>[Threaded comment]
Your version of Excel allows you to read this threaded comment; however, any edits to it will get removed if the file is opened in a newer version of Excel. Learn more: https://go.microsoft.com/fwlink/?linkid=870924
Comment:
    Past year</t>
      </text>
    </comment>
    <comment ref="A19" authorId="7" shapeId="0" xr:uid="{EE590A79-FFEA-446C-B302-2B8C035CBA43}">
      <text>
        <t>[Threaded comment]
Your version of Excel allows you to read this threaded comment; however, any edits to it will get removed if the file is opened in a newer version of Excel. Learn more: https://go.microsoft.com/fwlink/?linkid=870924
Comment:
    From table 3 can also extract effect for ever testing</t>
      </text>
    </comment>
    <comment ref="K19" authorId="8" shapeId="0" xr:uid="{1898650C-52D4-4B82-A013-38170DB3B24F}">
      <text>
        <t>[Threaded comment]
Your version of Excel allows you to read this threaded comment; however, any edits to it will get removed if the file is opened in a newer version of Excel. Learn more: https://go.microsoft.com/fwlink/?linkid=870924
Comment:
    Past year</t>
      </text>
    </comment>
    <comment ref="J21" authorId="9" shapeId="0" xr:uid="{063B1B6A-5D38-4288-BC26-C677E2605911}">
      <text>
        <t>[Threaded comment]
Your version of Excel allows you to read this threaded comment; however, any edits to it will get removed if the file is opened in a newer version of Excel. Learn more: https://go.microsoft.com/fwlink/?linkid=870924
Comment:
    Domestic and workplace/community violence</t>
      </text>
    </comment>
    <comment ref="A24" authorId="10" shapeId="0" xr:uid="{323D8A84-47EA-42F6-99B8-8C9A91D68549}">
      <text>
        <t>[Threaded comment]
Your version of Excel allows you to read this threaded comment; however, any edits to it will get removed if the file is opened in a newer version of Excel. Learn more: https://go.microsoft.com/fwlink/?linkid=870924
Comment:
    2018?</t>
      </text>
    </comment>
    <comment ref="D24" authorId="11" shapeId="0" xr:uid="{B5757C82-3C16-40EA-89B5-D7DC82BC3F42}">
      <text>
        <t>[Threaded comment]
Your version of Excel allows you to read this threaded comment; however, any edits to it will get removed if the file is opened in a newer version of Excel. Learn more: https://go.microsoft.com/fwlink/?linkid=870924
Comment:
    2018?</t>
      </text>
    </comment>
    <comment ref="A25" authorId="12" shapeId="0" xr:uid="{35117441-0741-43A9-B48E-1415C6679C9E}">
      <text>
        <t>[Threaded comment]
Your version of Excel allows you to read this threaded comment; however, any edits to it will get removed if the file is opened in a newer version of Excel. Learn more: https://go.microsoft.com/fwlink/?linkid=870924
Comment:
    2018?</t>
      </text>
    </comment>
    <comment ref="D25" authorId="13" shapeId="0" xr:uid="{03EA5BB2-C9E8-47AB-B06B-C2EC6614009C}">
      <text>
        <t>[Threaded comment]
Your version of Excel allows you to read this threaded comment; however, any edits to it will get removed if the file is opened in a newer version of Excel. Learn more: https://go.microsoft.com/fwlink/?linkid=870924
Comment:
    2018?</t>
      </text>
    </comment>
    <comment ref="G26" authorId="14" shapeId="0" xr:uid="{7410EF88-9F3D-431F-92EC-CDFEC7CEBD9C}">
      <text>
        <t>[Threaded comment]
Your version of Excel allows you to read this threaded comment; however, any edits to it will get removed if the file is opened in a newer version of Excel. Learn more: https://go.microsoft.com/fwlink/?linkid=870924
Comment:
    Sort of convenience sampling?</t>
      </text>
    </comment>
    <comment ref="I26" authorId="15" shapeId="0" xr:uid="{CCB60C71-2BEA-406D-9ECC-551748439923}">
      <text>
        <t>[Threaded comment]
Your version of Excel allows you to read this threaded comment; however, any edits to it will get removed if the file is opened in a newer version of Excel. Learn more: https://go.microsoft.com/fwlink/?linkid=870924
Comment:
    This is for violence and substance use together</t>
      </text>
    </comment>
    <comment ref="J26" authorId="16" shapeId="0" xr:uid="{3F31D8A4-292E-4E82-8B97-233AE2B9472A}">
      <text>
        <t>[Threaded comment]
Your version of Excel allows you to read this threaded comment; however, any edits to it will get removed if the file is opened in a newer version of Excel. Learn more: https://go.microsoft.com/fwlink/?linkid=870924
Comment:
    This is for violence and substance use together</t>
      </text>
    </comment>
    <comment ref="A27" authorId="17" shapeId="0" xr:uid="{14E8DB33-0469-49E5-9C1D-AC5DD9321FF7}">
      <text>
        <t>[Threaded comment]
Your version of Excel allows you to read this threaded comment; however, any edits to it will get removed if the file is opened in a newer version of Excel. Learn more: https://go.microsoft.com/fwlink/?linkid=870924
Comment:
    2019</t>
      </text>
    </comment>
    <comment ref="D27" authorId="18" shapeId="0" xr:uid="{28FB0A1F-9DF8-40E2-A412-DD22EE72586B}">
      <text>
        <t>[Threaded comment]
Your version of Excel allows you to read this threaded comment; however, any edits to it will get removed if the file is opened in a newer version of Excel. Learn more: https://go.microsoft.com/fwlink/?linkid=870924
Comment:
    2019</t>
      </text>
    </comment>
    <comment ref="A28" authorId="19" shapeId="0" xr:uid="{A8444C17-DA01-49D1-9BA2-84A1E39D2DB0}">
      <text>
        <t>[Threaded comment]
Your version of Excel allows you to read this threaded comment; however, any edits to it will get removed if the file is opened in a newer version of Excel. Learn more: https://go.microsoft.com/fwlink/?linkid=870924
Comment:
    2019</t>
      </text>
    </comment>
    <comment ref="D28" authorId="20" shapeId="0" xr:uid="{94552191-A0D9-4D69-B6F0-AD5DBCA39AF8}">
      <text>
        <t>[Threaded comment]
Your version of Excel allows you to read this threaded comment; however, any edits to it will get removed if the file is opened in a newer version of Excel. Learn more: https://go.microsoft.com/fwlink/?linkid=870924
Comment:
    2019</t>
      </text>
    </comment>
    <comment ref="A29" authorId="21" shapeId="0" xr:uid="{D589B66F-4040-4FC6-8940-C8DDDCB11586}">
      <text>
        <t>[Threaded comment]
Your version of Excel allows you to read this threaded comment; however, any edits to it will get removed if the file is opened in a newer version of Excel. Learn more: https://go.microsoft.com/fwlink/?linkid=870924
Comment:
    Can also extract OR of recent infection vs HIV negative - and use in incidence Meta-analysis</t>
      </text>
    </comment>
    <comment ref="A30" authorId="22" shapeId="0" xr:uid="{FBDA8BE2-4DE9-4D9F-9227-376C3C9B5C52}">
      <text>
        <t>[Threaded comment]
Your version of Excel allows you to read this threaded comment; however, any edits to it will get removed if the file is opened in a newer version of Excel. Learn more: https://go.microsoft.com/fwlink/?linkid=870924
Comment:
    Can also extract OR of recent infection vs HIV negative - and use in incidence Meta-analysis</t>
      </text>
    </comment>
    <comment ref="A32" authorId="23" shapeId="0" xr:uid="{11893743-5C7A-4B17-A1E3-B70739E62B15}">
      <text>
        <t>[Threaded comment]
Your version of Excel allows you to read this threaded comment; however, any edits to it will get removed if the file is opened in a newer version of Excel. Learn more: https://go.microsoft.com/fwlink/?linkid=870924
Comment:
    ALL TGW - is that allowed in the review??
Reply:
    Strange this study isnt in the MSM/TGW review</t>
      </text>
    </comment>
    <comment ref="I32" authorId="24" shapeId="0" xr:uid="{754F9E39-88B8-4359-AD3D-70CF441235B1}">
      <text>
        <t>[Threaded comment]
Your version of Excel allows you to read this threaded comment; however, any edits to it will get removed if the file is opened in a newer version of Excel. Learn more: https://go.microsoft.com/fwlink/?linkid=870924
Comment:
    Ex-
posure to violence was measured through two questions: re-
spondents were asked if in the last 12 months they had been
(1) beaten; and (2) forced to have sex against their will (rape).
Respondents answering yes to either question were coded as
1 and the remaining respondents were coded as 0.
Reply:
    Beaten or raped in past year</t>
      </text>
    </comment>
    <comment ref="J32" authorId="25" shapeId="0" xr:uid="{8C0B3C2B-3F68-4FBF-9121-6ABB29E58BF7}">
      <text>
        <t>[Threaded comment]
Your version of Excel allows you to read this threaded comment; however, any edits to it will get removed if the file is opened in a newer version of Excel. Learn more: https://go.microsoft.com/fwlink/?linkid=870924
Comment:
    Ex-
posure to violence was measured through two questions: re-
spondents were asked if in the last 12 months they had been
(1) beaten; and (2) forced to have sex against their will (rape).
Respondents answering yes to either question were coded as
1 and the remaining respondents were coded as 0.
Reply:
    Beaten/raped in past year</t>
      </text>
    </comment>
    <comment ref="F42" authorId="26" shapeId="0" xr:uid="{1D2FFEA3-BBCE-47B6-A9F1-79B21B9165AC}">
      <text>
        <t>[Threaded comment]
Your version of Excel allows you to read this threaded comment; however, any edits to it will get removed if the file is opened in a newer version of Excel. Learn more: https://go.microsoft.com/fwlink/?linkid=870924
Comment:
    If RDS then community?</t>
      </text>
    </comment>
    <comment ref="F43" authorId="27" shapeId="0" xr:uid="{DA491720-E0F1-4D16-81E7-2695A4BF2815}">
      <text>
        <t>[Threaded comment]
Your version of Excel allows you to read this threaded comment; however, any edits to it will get removed if the file is opened in a newer version of Excel. Learn more: https://go.microsoft.com/fwlink/?linkid=870924
Comment:
    If RDS then community?</t>
      </text>
    </comment>
    <comment ref="F44" authorId="28" shapeId="0" xr:uid="{B32E1B76-5621-47CE-BEDF-20E3930C9492}">
      <text>
        <t>[Threaded comment]
Your version of Excel allows you to read this threaded comment; however, any edits to it will get removed if the file is opened in a newer version of Excel. Learn more: https://go.microsoft.com/fwlink/?linkid=870924
Comment:
    If RDS then community?</t>
      </text>
    </comment>
    <comment ref="A48" authorId="29" shapeId="0" xr:uid="{9C839C2A-45BA-491E-A411-6CF93DD0E8C6}">
      <text>
        <t>[Threaded comment]
Your version of Excel allows you to read this threaded comment; however, any edits to it will get removed if the file is opened in a newer version of Excel. Learn more: https://go.microsoft.com/fwlink/?linkid=870924
Comment:
    Also could estimate ORs for Pimp sexual violence (with correction for zero count), Pimp physical violence, presented with more clients than agreed to
Reply:
    Also extract the more clients thing
Reply:
    Calculate using correction but put as footnote in table rather than in methods</t>
      </text>
    </comment>
    <comment ref="J63" authorId="30" shapeId="0" xr:uid="{1542F212-7AB6-4583-BCBA-B6FAD3E43F98}">
      <text>
        <t>[Threaded comment]
Your version of Excel allows you to read this threaded comment; however, any edits to it will get removed if the file is opened in a newer version of Excel. Learn more: https://go.microsoft.com/fwlink/?linkid=870924
Comment:
    I presume this is fine to use as an exposure, but I’m copying here so Jack can confirm:
The dependent variable was involuntary sex exchange, which was defined as a ‘yes’ response to either of the following questions: ‘Have you ever been sold or traded for sexual purposes?’ or ‘Have you ever been forced to exchange sex for money, drugs, or other goods at the orders of another person?’ These measures were designed based on the UN Palermo Protocol definition of trafficking in persons and formative qualitative research conducted with FSWs, and were pilot-tested. 
Reply:
    Discussed with jack and is fine</t>
      </text>
    </comment>
    <comment ref="J69" authorId="31" shapeId="0" xr:uid="{16BDD0F4-4929-4170-9AEC-5C53361F8F3D}">
      <text>
        <t>[Threaded comment]
Your version of Excel allows you to read this threaded comment; however, any edits to it will get removed if the file is opened in a newer version of Excel. Learn more: https://go.microsoft.com/fwlink/?linkid=870924
Comment:
    Why would “Lived in an IDP camp” and “War-related abduction” be included as exposures for the Goldenberg study above but not for this one?
Reply:
    On the face of it They dont really seem like violence? Maybe abducted into army, maybe. 
Reply:
    Discussed with Jack and have included war-related abducted and removed lived in IDP camp</t>
      </text>
    </comment>
    <comment ref="I74" authorId="32" shapeId="0" xr:uid="{12A9C8B0-4C08-4F86-A338-FB991AFC9B29}">
      <text>
        <t>[Threaded comment]
Your version of Excel allows you to read this threaded comment; however, any edits to it will get removed if the file is opened in a newer version of Excel. Learn more: https://go.microsoft.com/fwlink/?linkid=870924
Comment:
    “Experienced sexual violence past 12 months”
Reply:
    Past 12 months goes into time frame column - have updated other text</t>
      </text>
    </comment>
    <comment ref="J74" authorId="33" shapeId="0" xr:uid="{E20E5B4E-4B18-477A-874A-D360E88C111F}">
      <text>
        <t>[Threaded comment]
Your version of Excel allows you to read this threaded comment; however, any edits to it will get removed if the file is opened in a newer version of Excel. Learn more: https://go.microsoft.com/fwlink/?linkid=870924
Comment:
    “Experienced sexual violence past 12 months”</t>
      </text>
    </comment>
    <comment ref="I80" authorId="34" shapeId="0" xr:uid="{4C5AA351-AE09-48F0-83E4-0D544BEFF78D}">
      <text>
        <t>[Threaded comment]
Your version of Excel allows you to read this threaded comment; however, any edits to it will get removed if the file is opened in a newer version of Excel. Learn more: https://go.microsoft.com/fwlink/?linkid=870924
Comment:
    For Jack to check whether this meets the inclusion criteria for violence:
“To measure economic abuse, enrolled women were asked 12 questions about whether a current or past sex partner had ever hurt them financially since the start of their relationship based on the following items: (i) made you ask them for money; (ii) demanded to know how money was spent; (iii) demanded that you give them receipts and/or change when money was spent; (iv) kept financial information from you; (v) made important financial decisions without talking with you first; (vi) threatened to make you leave job/work; (vii) demanded that you quit your job/work; (viii) beat you up if you said you needed to go to work; (ix) did things to keep you from going to your job/work; (x) spent money you needed for rent and other bills; (xi) paid bills late or not pay bills that were in your name or both of your names; and (xii) borrowed money or purchased things on credit under your name.”
Reply:
    I think its okay - obviously a different type of violence though</t>
      </text>
    </comment>
    <comment ref="J104" authorId="35" shapeId="0" xr:uid="{10F3ED72-E2C7-4037-8E1E-0AC1B75609FD}">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A105" authorId="36" shapeId="0" xr:uid="{F69C3E4B-68E3-4D03-A1C6-AF1F6C5AA02B}">
      <text>
        <t>[Threaded comment]
Your version of Excel allows you to read this threaded comment; however, any edits to it will get removed if the file is opened in a newer version of Excel. Learn more: https://go.microsoft.com/fwlink/?linkid=870924
Comment:
    Check if results for SW who are TGW are extracted?
Reply:
    There’s a Maclin study in the TGW spreadsheet
Reply:
    Have the TGW estimates been extracted for this study though? Josh can you check? You had included TGW estimates in the batch I had reviewed
Reply:
    I have now included it but it was a fucking nightmare</t>
      </text>
    </comment>
    <comment ref="J105" authorId="37" shapeId="0" xr:uid="{07B57C82-6370-440A-8FAB-CF75FCFCB36A}">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J106" authorId="38" shapeId="0" xr:uid="{F097EE77-4843-464A-9D25-8D8D2089CCF7}">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J107" authorId="39" shapeId="0" xr:uid="{4A776813-5A68-4036-A03F-CC2E5BBA0FBE}">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J108" authorId="40" shapeId="0" xr:uid="{30C56C29-71EF-40AF-857D-A21DA8FEA2DE}">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J109" authorId="41" shapeId="0" xr:uid="{F8B0248B-512A-452F-9F2F-C43425CD05F1}">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J110" authorId="42" shapeId="0" xr:uid="{6BD1EDC6-92A6-46FC-9ADE-5FF16C1DA742}">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J111" authorId="43" shapeId="0" xr:uid="{1BFBBB59-0D86-4A08-A279-737B4397E687}">
      <text>
        <t>[Threaded comment]
Your version of Excel allows you to read this threaded comment; however, any edits to it will get removed if the file is opened in a newer version of Excel. Learn more: https://go.microsoft.com/fwlink/?linkid=870924
Comment:
    Sex Work-related Police Harassment</t>
      </text>
    </comment>
    <comment ref="G137" authorId="44" shapeId="0" xr:uid="{C8B9E990-29C6-412B-93C2-861841728934}">
      <text>
        <t>[Threaded comment]
Your version of Excel allows you to read this threaded comment; however, any edits to it will get removed if the file is opened in a newer version of Excel. Learn more: https://go.microsoft.com/fwlink/?linkid=870924
Comment:
    Other sampling?
“Participants were recruited from non-governmental organizations, HIV clinics, drug treatment clinics, hotels, saunas and sex work venues in Almaty and Temirtau, Kazakhstan between February 2015 and May 2017. ”</t>
      </text>
    </comment>
    <comment ref="I143" authorId="45" shapeId="0" xr:uid="{AD2B4BA0-E702-4056-8214-58252615B9B0}">
      <text>
        <t>[Threaded comment]
Your version of Excel allows you to read this threaded comment; however, any edits to it will get removed if the file is opened in a newer version of Excel. Learn more: https://go.microsoft.com/fwlink/?linkid=870924
Comment:
    Same here
Reply:
    fair</t>
      </text>
    </comment>
    <comment ref="I144" authorId="46" shapeId="0" xr:uid="{5EC48786-EFC5-4B61-933B-8618FF26E592}">
      <text>
        <t xml:space="preserve">[Threaded comment]
Your version of Excel allows you to read this threaded comment; however, any edits to it will get removed if the file is opened in a newer version of Excel. Learn more: https://go.microsoft.com/fwlink/?linkid=870924
Comment:
    I’m not clear about which exposure variable for sexual violence was used in the model - there are many mentioned
Reply:
    Fair I changed to SV
</t>
      </text>
    </comment>
    <comment ref="J144" authorId="47" shapeId="0" xr:uid="{4D088AF8-81AC-4577-82F3-7838EA36CB25}">
      <text>
        <t>[Threaded comment]
Your version of Excel allows you to read this threaded comment; however, any edits to it will get removed if the file is opened in a newer version of Excel. Learn more: https://go.microsoft.com/fwlink/?linkid=870924
Comment:
    I’m not clear about which exposure variable for sexual violence was used in the model - there are many mentioned
Reply:
    Fair, I think it’s just sexual violence</t>
      </text>
    </comment>
    <comment ref="A149" authorId="48" shapeId="0" xr:uid="{0D13B29B-A147-41EE-805D-5443E591DE88}">
      <text>
        <t>[Threaded comment]
Your version of Excel allows you to read this threaded comment; however, any edits to it will get removed if the file is opened in a newer version of Excel. Learn more: https://go.microsoft.com/fwlink/?linkid=870924
Comment:
    Unsure whether these should be included - the outcome is ART use among self-reported PLHIV
Reply:
    We are including this</t>
      </text>
    </comment>
    <comment ref="I155" authorId="49" shapeId="0" xr:uid="{B23A79C8-705B-4B33-B332-D33E8C318A3B}">
      <text>
        <t>[Threaded comment]
Your version of Excel allows you to read this threaded comment; however, any edits to it will get removed if the file is opened in a newer version of Excel. Learn more: https://go.microsoft.com/fwlink/?linkid=870924
Comment:
    It should be possible to use the results in tables 2 and 3 to create a variable for “Any violent experiences” which would be more useful than this
Reply:
    Table 3 is condom use
Reply:
    Table 4 is HIV but when I include it, I get an OR of 31.51. it’s a confusing study. Let’s discuss
Reply:
    Spoke to Jack and decided to keep as is because of adjusted ORs</t>
      </text>
    </comment>
    <comment ref="I171" authorId="50" shapeId="0" xr:uid="{1063FA97-4223-4741-8BC0-3877FACAD746}">
      <text>
        <t>[Threaded comment]
Your version of Excel allows you to read this threaded comment; however, any edits to it will get removed if the file is opened in a newer version of Excel. Learn more: https://go.microsoft.com/fwlink/?linkid=870924
Comment:
    Any emotional intimate partner violence</t>
      </text>
    </comment>
    <comment ref="J171" authorId="51" shapeId="0" xr:uid="{0F7D18CD-FC29-4B1B-8333-95B352C84B82}">
      <text>
        <t>[Threaded comment]
Your version of Excel allows you to read this threaded comment; however, any edits to it will get removed if the file is opened in a newer version of Excel. Learn more: https://go.microsoft.com/fwlink/?linkid=870924
Comment:
    Any emotional intimate partner violence
Reply:
    I use perpetrator to show IPV</t>
      </text>
    </comment>
    <comment ref="J201" authorId="52" shapeId="0" xr:uid="{7157E8DD-48E7-46F5-9CF6-6FE04D7334D5}">
      <text>
        <t>[Threaded comment]
Your version of Excel allows you to read this threaded comment; however, any edits to it will get removed if the file is opened in a newer version of Excel. Learn more: https://go.microsoft.com/fwlink/?linkid=870924
Comment:
    CWSW</t>
      </text>
    </comment>
    <comment ref="J202" authorId="53" shapeId="0" xr:uid="{ABF5D11E-539D-48EA-9FE7-4F7E77E2D70E}">
      <text>
        <t>[Threaded comment]
Your version of Excel allows you to read this threaded comment; however, any edits to it will get removed if the file is opened in a newer version of Excel. Learn more: https://go.microsoft.com/fwlink/?linkid=870924
Comment:
    TGWSW</t>
      </text>
    </comment>
    <comment ref="J203" authorId="54" shapeId="0" xr:uid="{B13C918D-A450-452F-BF5D-B76906CA8D41}">
      <text>
        <t>[Threaded comment]
Your version of Excel allows you to read this threaded comment; however, any edits to it will get removed if the file is opened in a newer version of Excel. Learn more: https://go.microsoft.com/fwlink/?linkid=870924
Comment:
    These are among TGWSW - has this separate extraction been done consistently in other studies?
Reply:
    Will check with Jack</t>
      </text>
    </comment>
  </commentList>
</comments>
</file>

<file path=xl/sharedStrings.xml><?xml version="1.0" encoding="utf-8"?>
<sst xmlns="http://schemas.openxmlformats.org/spreadsheetml/2006/main" count="13206" uniqueCount="1574">
  <si>
    <t>NA</t>
  </si>
  <si>
    <t>OR</t>
  </si>
  <si>
    <t>Unadjusted</t>
  </si>
  <si>
    <t>Living with HIV</t>
  </si>
  <si>
    <t>&lt;1000 copies/ml</t>
  </si>
  <si>
    <t>Viral suppression</t>
  </si>
  <si>
    <t>no</t>
  </si>
  <si>
    <t>222</t>
  </si>
  <si>
    <t>Unspecified</t>
  </si>
  <si>
    <t>Ever</t>
  </si>
  <si>
    <t>Forced into sex work</t>
  </si>
  <si>
    <t>Sexual violence</t>
  </si>
  <si>
    <t>485</t>
  </si>
  <si>
    <t>1</t>
  </si>
  <si>
    <t>Past 6 months</t>
  </si>
  <si>
    <t>African Region</t>
  </si>
  <si>
    <t>Kampala</t>
  </si>
  <si>
    <t>Uganda</t>
  </si>
  <si>
    <t>Respondent-driven</t>
  </si>
  <si>
    <t>1497</t>
  </si>
  <si>
    <t>Community</t>
  </si>
  <si>
    <t>Cross-sectional</t>
  </si>
  <si>
    <t>Manuscript</t>
  </si>
  <si>
    <t>Doshi</t>
  </si>
  <si>
    <t>Progress toward UNAIDS 90-90-90 targets: A Respondent-driven survey among female sex workers in Kampala, Uganda</t>
  </si>
  <si>
    <t>Doshi (2018)</t>
  </si>
  <si>
    <t>yes</t>
  </si>
  <si>
    <t>Self-reported current ART use</t>
  </si>
  <si>
    <t>ART use</t>
  </si>
  <si>
    <t>Self-reported current ART use (yes vs. no)</t>
  </si>
  <si>
    <t>Current ART</t>
  </si>
  <si>
    <t>0.33023255813953489</t>
  </si>
  <si>
    <t>71</t>
  </si>
  <si>
    <t>Age, marital status, education, city, income other than sex work and number of clients in the past month.</t>
  </si>
  <si>
    <t>NR</t>
  </si>
  <si>
    <t>Adjusted</t>
  </si>
  <si>
    <t>HIV prevalence</t>
  </si>
  <si>
    <t>Beaten or forced to have sex</t>
  </si>
  <si>
    <t>Beaten up or physically hurt by someone because of being a sex worker or forced to have sex against will</t>
  </si>
  <si>
    <t>Physical and/or sexual violence</t>
  </si>
  <si>
    <t>81</t>
  </si>
  <si>
    <t>Past 12 months</t>
  </si>
  <si>
    <t>Multi-city</t>
  </si>
  <si>
    <t>Cameroon</t>
  </si>
  <si>
    <t>Decker</t>
  </si>
  <si>
    <t>Gender-based violence against female sex workers in Cameroon: Prevalence and associations with sexual HIV risk and access to health services and justice</t>
  </si>
  <si>
    <t>Decker (2016)</t>
  </si>
  <si>
    <t>0.32800000000000001</t>
  </si>
  <si>
    <t>Currently taking ART</t>
  </si>
  <si>
    <t>Currently taking ART (yes vs. no)</t>
  </si>
  <si>
    <t>52</t>
  </si>
  <si>
    <t>Beaten up, physically hurt or forced to have sex</t>
  </si>
  <si>
    <t>0.127</t>
  </si>
  <si>
    <t>Recent</t>
  </si>
  <si>
    <t>12 months</t>
  </si>
  <si>
    <t>HIV test past 12 months</t>
  </si>
  <si>
    <t>HIV testing</t>
  </si>
  <si>
    <t>0</t>
  </si>
  <si>
    <t>1512</t>
  </si>
  <si>
    <t>Length of time in sex work, age, site stratification survey design accommodated through complex survey analyses</t>
  </si>
  <si>
    <t>&lt;0.001</t>
  </si>
  <si>
    <t>Individuals with positive or undetermined results were referred to the local AIDS Center for confirmatory testing</t>
  </si>
  <si>
    <t>47</t>
  </si>
  <si>
    <t>Client</t>
  </si>
  <si>
    <t>Forced or coerced anal sex</t>
  </si>
  <si>
    <t>Client-perpetrated forced or coerced anal sex</t>
  </si>
  <si>
    <t>29</t>
  </si>
  <si>
    <t>Past 3 months</t>
  </si>
  <si>
    <t>European Region</t>
  </si>
  <si>
    <t>Russia</t>
  </si>
  <si>
    <t>754</t>
  </si>
  <si>
    <t>Female sex workers in three cities in Russia: HIV prevalence, risk factors and experience with targeted HIV prevention</t>
  </si>
  <si>
    <t>Decker (2014)</t>
  </si>
  <si>
    <t>23</t>
  </si>
  <si>
    <t>Police</t>
  </si>
  <si>
    <t>Sex to avoid incarceration or arrest</t>
  </si>
  <si>
    <t>Subbotnik: Asked to provide sex to police or militia to avoid incarceration or arrest</t>
  </si>
  <si>
    <t>0.182</t>
  </si>
  <si>
    <t>74</t>
  </si>
  <si>
    <t>Pimp</t>
  </si>
  <si>
    <t>Physical violence</t>
  </si>
  <si>
    <t>Pimp/momka physical violence</t>
  </si>
  <si>
    <t>0.114</t>
  </si>
  <si>
    <t>86</t>
  </si>
  <si>
    <t>Forced or coerced vaginal sex</t>
  </si>
  <si>
    <t>Client-perpetrated forced or coerced vaginal sex</t>
  </si>
  <si>
    <t>0.10199999999999999</t>
  </si>
  <si>
    <t>77</t>
  </si>
  <si>
    <t>Client-perpetrated physical violence</t>
  </si>
  <si>
    <t>0.77800000000000002</t>
  </si>
  <si>
    <t>Confirmatory Western Blot (Vektor) testing</t>
  </si>
  <si>
    <t>0.75900000000000001</t>
  </si>
  <si>
    <t>107</t>
  </si>
  <si>
    <t>Client physical violence</t>
  </si>
  <si>
    <t>7</t>
  </si>
  <si>
    <t>Moscow</t>
  </si>
  <si>
    <t>147</t>
  </si>
  <si>
    <t>Injection drug use, sexual risk, violence and STI/HIV among Moscow female sex workers</t>
  </si>
  <si>
    <t>Decker (2012)</t>
  </si>
  <si>
    <t>0.26100000000000001</t>
  </si>
  <si>
    <t>0.36599999999999999</t>
  </si>
  <si>
    <t>Sex for leniency from police</t>
  </si>
  <si>
    <t>Subbotnik, wherein police demand sex in exchange for leniency towards pimps and FSWs</t>
  </si>
  <si>
    <t>0.10299999999999999</t>
  </si>
  <si>
    <t>14</t>
  </si>
  <si>
    <t>Threats of physical violence</t>
  </si>
  <si>
    <t>Pimp threats of physical violence</t>
  </si>
  <si>
    <t>0.65300000000000002</t>
  </si>
  <si>
    <t>3 months</t>
  </si>
  <si>
    <t>HIV test past 3 months</t>
  </si>
  <si>
    <t>0.22604684173172462</t>
  </si>
  <si>
    <t>637</t>
  </si>
  <si>
    <t>Past month</t>
  </si>
  <si>
    <t>Physically hurt</t>
  </si>
  <si>
    <t>Husband, boyfriend, sexual partner, client, or police  hit, slapped, pushed, shoved, or otherwise physically hurt in past month, or raped by police</t>
  </si>
  <si>
    <t>0.58858753082071147</t>
  </si>
  <si>
    <t>1671</t>
  </si>
  <si>
    <t>Zimbabwe</t>
  </si>
  <si>
    <t>Other setting</t>
  </si>
  <si>
    <t>Davey</t>
  </si>
  <si>
    <t>Exploring the Association Between Mobility and Access to HIV Services Among Female Sex Workers in Zimbabwe</t>
  </si>
  <si>
    <t>Davey (2020)</t>
  </si>
  <si>
    <t>0.48199999999999998</t>
  </si>
  <si>
    <t>Currently using ART</t>
  </si>
  <si>
    <t>&lt;1000 copies/ mL</t>
  </si>
  <si>
    <t>0.226046841731725</t>
  </si>
  <si>
    <t>Physically hurt or raped</t>
  </si>
  <si>
    <t>0.588587530820711</t>
  </si>
  <si>
    <t>0.23100000000000001</t>
  </si>
  <si>
    <t>Any</t>
  </si>
  <si>
    <t>Physically forced sex</t>
  </si>
  <si>
    <t>Physically forced into having sexual intercourse</t>
  </si>
  <si>
    <t>Past 4 months</t>
  </si>
  <si>
    <t>Region of the Americas</t>
  </si>
  <si>
    <t>Brazil</t>
  </si>
  <si>
    <t>2523</t>
  </si>
  <si>
    <t>Damacena</t>
  </si>
  <si>
    <t>Risk factors associated with HIV prevalence among female sex workers in 10 Brazilian Cities</t>
  </si>
  <si>
    <t>Damacena (2011)</t>
  </si>
  <si>
    <t>PR</t>
  </si>
  <si>
    <t>&lt;50 copies/mL</t>
  </si>
  <si>
    <t>0.539</t>
  </si>
  <si>
    <t>740</t>
  </si>
  <si>
    <t>History of physical violence (ever being pushed, shoved, slapped, hit, kicked, choked, or otherwise physically hurt)</t>
  </si>
  <si>
    <t>1373</t>
  </si>
  <si>
    <t>Current</t>
  </si>
  <si>
    <t>eThekwini Metropolitan Municipality</t>
  </si>
  <si>
    <t>South Africa</t>
  </si>
  <si>
    <t>Convenience</t>
  </si>
  <si>
    <t>Comins</t>
  </si>
  <si>
    <t>ART coverage and viral suppression among female sex workers living with HIV in eThekwini, South Africa: Baseline findings from the Siyaphambili study</t>
  </si>
  <si>
    <t>Comins (2024)</t>
  </si>
  <si>
    <t>0.375</t>
  </si>
  <si>
    <t>515</t>
  </si>
  <si>
    <t>Forced to have sex</t>
  </si>
  <si>
    <t>Ever being forced to have sex</t>
  </si>
  <si>
    <t>0.754</t>
  </si>
  <si>
    <t>HIV positive</t>
  </si>
  <si>
    <t>0.56692913385826771</t>
  </si>
  <si>
    <t>288</t>
  </si>
  <si>
    <t>Intimate partner</t>
  </si>
  <si>
    <t>Intimate partner physical/sexual violence</t>
  </si>
  <si>
    <t>0.55118110236220474</t>
  </si>
  <si>
    <t>280</t>
  </si>
  <si>
    <t>Soweto</t>
  </si>
  <si>
    <t>508</t>
  </si>
  <si>
    <t>Coetzee</t>
  </si>
  <si>
    <t>Cross-sectional study of female sex workers in Soweto, South Africa: Factors associated with HIV infection</t>
  </si>
  <si>
    <t>Coetzee (2017)</t>
  </si>
  <si>
    <t>0.54527559055118113</t>
  </si>
  <si>
    <t>277</t>
  </si>
  <si>
    <t>Sexual violence by non-intimate partner</t>
  </si>
  <si>
    <t>0.52300000000000002</t>
  </si>
  <si>
    <t>Forced to have sexual intercourse</t>
  </si>
  <si>
    <t>Chabata</t>
  </si>
  <si>
    <t>Changes Over Time in HIV Prevalence and Sexual Behaviour Among Young Female Sex-Workers in 14 Sites in Zimbabwe, 2013-2016</t>
  </si>
  <si>
    <t>Chabata (2019)</t>
  </si>
  <si>
    <t>0.91700000000000004</t>
  </si>
  <si>
    <t>233</t>
  </si>
  <si>
    <t>Experience of physical violence from steady partner</t>
  </si>
  <si>
    <t>0.94399999999999995</t>
  </si>
  <si>
    <t>146</t>
  </si>
  <si>
    <t>Experience of physical violence from client</t>
  </si>
  <si>
    <t>&lt;0.05</t>
  </si>
  <si>
    <t>0.13793103448275862</t>
  </si>
  <si>
    <t>44</t>
  </si>
  <si>
    <t>Sexually abused</t>
  </si>
  <si>
    <t>0.11912225705329153</t>
  </si>
  <si>
    <t>38</t>
  </si>
  <si>
    <t>Mekelle</t>
  </si>
  <si>
    <t>Ethiopia</t>
  </si>
  <si>
    <t>319</t>
  </si>
  <si>
    <t>Bugssa</t>
  </si>
  <si>
    <t>Prevalence and factors associated with HIV and hepatitis B virus infections among female commercial sex workers in mekelle, Ethiopia: Cross sectional study</t>
  </si>
  <si>
    <t>Bugssa (2015)</t>
  </si>
  <si>
    <t>0.219</t>
  </si>
  <si>
    <t>64</t>
  </si>
  <si>
    <t>0.3583</t>
  </si>
  <si>
    <t>110</t>
  </si>
  <si>
    <t>0.75</t>
  </si>
  <si>
    <t>Dominican Republic</t>
  </si>
  <si>
    <t>307</t>
  </si>
  <si>
    <t>Budhwani</t>
  </si>
  <si>
    <t>Transgender Women in Dominican Republic: HIV, Stigma, Substances, and Sex Work</t>
  </si>
  <si>
    <t>Budhwani (2021)</t>
  </si>
  <si>
    <t>0.95</t>
  </si>
  <si>
    <t>82</t>
  </si>
  <si>
    <t>6</t>
  </si>
  <si>
    <t>Jamaica</t>
  </si>
  <si>
    <t>459</t>
  </si>
  <si>
    <t>Condom use and HIV status: A study of sex workers engaged with the Jamaican AIDS support for life (JASL)</t>
  </si>
  <si>
    <t>Budhwani (2017)</t>
  </si>
  <si>
    <t>Age and district of residence</t>
  </si>
  <si>
    <t>HIV infection</t>
  </si>
  <si>
    <t>History of forced sex</t>
  </si>
  <si>
    <t>0.24</t>
  </si>
  <si>
    <t>192</t>
  </si>
  <si>
    <t>Kigali</t>
  </si>
  <si>
    <t>Rwanda</t>
  </si>
  <si>
    <t>800</t>
  </si>
  <si>
    <t>Braunstein</t>
  </si>
  <si>
    <t>High burden of prevalent and recently acquired HIV among female sex workers and female HIV voluntary testing center clients in Kigali, Rwanda</t>
  </si>
  <si>
    <t>Braunstein (2011)</t>
  </si>
  <si>
    <t>0.8</t>
  </si>
  <si>
    <t>New HIV diagnosis</t>
  </si>
  <si>
    <t>202</t>
  </si>
  <si>
    <t>Forced to have sex against will</t>
  </si>
  <si>
    <t>550</t>
  </si>
  <si>
    <t>2255</t>
  </si>
  <si>
    <t>Bowring</t>
  </si>
  <si>
    <t>Characterizing Sociostructural Associations with New HIV Diagnoses among Female Sex Workers in Cameroon</t>
  </si>
  <si>
    <t>232</t>
  </si>
  <si>
    <t>Physical harassment/hurt due to sex work</t>
  </si>
  <si>
    <t>Experienced physical harassment or been hurt due to sex work</t>
  </si>
  <si>
    <t>Age (as a cubic term), homelessness, relationship status, and anticipated stigma were used to estimate adjusted prevalence ratios (aPRs)</t>
  </si>
  <si>
    <t>0.464</t>
  </si>
  <si>
    <t>638</t>
  </si>
  <si>
    <t>Physical or sexual violence</t>
  </si>
  <si>
    <t>1384</t>
  </si>
  <si>
    <t>Durban</t>
  </si>
  <si>
    <t>Bhardwaj</t>
  </si>
  <si>
    <t>Prevalence of depression, syndemic factors and their impact on viral suppression among female sex workers living with HIV in eThekwini, South Africa</t>
  </si>
  <si>
    <t>Bhardwaj (2023)</t>
  </si>
  <si>
    <t>0.57999999999999996</t>
  </si>
  <si>
    <t>0.40923076923076923</t>
  </si>
  <si>
    <t>133</t>
  </si>
  <si>
    <t>Beaten up as a result of selling sex or forced to have sex</t>
  </si>
  <si>
    <t>Eswatini</t>
  </si>
  <si>
    <t>325</t>
  </si>
  <si>
    <t>Berger</t>
  </si>
  <si>
    <t>The Prevalence and Correlates of Physical and Sexual Violence Affecting Female Sex Workers in Swaziland</t>
  </si>
  <si>
    <t>0.61</t>
  </si>
  <si>
    <t>Age, district, marital status, migrant sex work, place of selling sex and having an income other than sex work</t>
  </si>
  <si>
    <t>0.53</t>
  </si>
  <si>
    <t>0.26</t>
  </si>
  <si>
    <t>365</t>
  </si>
  <si>
    <t>Any violence</t>
  </si>
  <si>
    <t>Any recent violence</t>
  </si>
  <si>
    <t>South-East Asia Region</t>
  </si>
  <si>
    <t>India</t>
  </si>
  <si>
    <t>Time-space sampling</t>
  </si>
  <si>
    <t>1111</t>
  </si>
  <si>
    <t>Beksinska</t>
  </si>
  <si>
    <t>Violence experience by perpetrator and associations with HIV/STI risk and infection: a Cross-sectional study among female sex workers in Karnataka, south India</t>
  </si>
  <si>
    <t>Beksinska (2018)</t>
  </si>
  <si>
    <t>0.072007200720072</t>
  </si>
  <si>
    <t>80</t>
  </si>
  <si>
    <t>Workplace or community violence</t>
  </si>
  <si>
    <t>Workplace and/or community violence</t>
  </si>
  <si>
    <t>0.0621062106210621</t>
  </si>
  <si>
    <t>69</t>
  </si>
  <si>
    <t>Domestic and workplace or community violence</t>
  </si>
  <si>
    <t>65</t>
  </si>
  <si>
    <t>0.194419441944194</t>
  </si>
  <si>
    <t>216</t>
  </si>
  <si>
    <t>Domestic violence</t>
  </si>
  <si>
    <t>Mombasa</t>
  </si>
  <si>
    <t>Kenya</t>
  </si>
  <si>
    <t>Probabilistic</t>
  </si>
  <si>
    <t>Conference abstract</t>
  </si>
  <si>
    <t>67</t>
  </si>
  <si>
    <t>District, IBBA round, place where sex worker has sex with clients, age, marital status, additional source of income to sex work and ever sold sex outside the district (migrant sexworker)</t>
  </si>
  <si>
    <t>0.10642107955999</t>
  </si>
  <si>
    <t>416</t>
  </si>
  <si>
    <t>Beaten or physically forced to have sexual intercourse, by non-partner</t>
  </si>
  <si>
    <t>0.126630851880276</t>
  </si>
  <si>
    <t>495</t>
  </si>
  <si>
    <t>3909</t>
  </si>
  <si>
    <t>Beattie</t>
  </si>
  <si>
    <t>Declines in violence and police arrest among female sex workers in Karnataka state, south India, following a comprehensive HIV prevention programme</t>
  </si>
  <si>
    <t>Beattie (2015)</t>
  </si>
  <si>
    <t>Survey round, age, marital status, residency, migrant, duration sex work, place entertain clients, clients per week and regularpartner.</t>
  </si>
  <si>
    <t>0.10721703011422637</t>
  </si>
  <si>
    <t>413</t>
  </si>
  <si>
    <t>Beaten or physically forced to have sexual intercourse</t>
  </si>
  <si>
    <t>0.16500000000000001</t>
  </si>
  <si>
    <t>634</t>
  </si>
  <si>
    <t>3852</t>
  </si>
  <si>
    <t>Violence against female sex workers in Karnataka state, south India: impact on health, and reductions in violence following an intervention program</t>
  </si>
  <si>
    <t>Beattie (2010)</t>
  </si>
  <si>
    <t>0.41499999999999998</t>
  </si>
  <si>
    <t>6 months</t>
  </si>
  <si>
    <t>HIV test past 6 months</t>
  </si>
  <si>
    <t>Suffered physical violence</t>
  </si>
  <si>
    <t>Ghana</t>
  </si>
  <si>
    <t>4108</t>
  </si>
  <si>
    <t>Ayamah</t>
  </si>
  <si>
    <t>Multiple indicators of violence against female sex workers and its associated factors in Ghana: Evidence from the 2015 integrated bio-behavioral surveillance survey Cross-sectional study</t>
  </si>
  <si>
    <t>Ayamah (2023)</t>
  </si>
  <si>
    <t>0.71</t>
  </si>
  <si>
    <t>HIV test outcome</t>
  </si>
  <si>
    <t>Suffered sexual violence</t>
  </si>
  <si>
    <t>3493</t>
  </si>
  <si>
    <t>0.23899999999999999</t>
  </si>
  <si>
    <t>0.98</t>
  </si>
  <si>
    <t>0.24067834265190508</t>
  </si>
  <si>
    <t>6500</t>
  </si>
  <si>
    <t>Physically beaten</t>
  </si>
  <si>
    <t>Physically beaten by someone (hurt, hit, slapped, pushed, kicked, punched, burned and but not using weapon)</t>
  </si>
  <si>
    <t>27007</t>
  </si>
  <si>
    <t>Arumugam</t>
  </si>
  <si>
    <t>Injecting drug use &amp; HIV prevalence among female sex workers: Evidence from the National Integrated Biological &amp; Behavioural Surveillance, India</t>
  </si>
  <si>
    <t>Arumugam (2022)</t>
  </si>
  <si>
    <t>0.17947198874365905</t>
  </si>
  <si>
    <t>4847</t>
  </si>
  <si>
    <t>Forced sexual intercourse</t>
  </si>
  <si>
    <t>Argentina</t>
  </si>
  <si>
    <t>&lt;1000 copies/mL</t>
  </si>
  <si>
    <t>0.125523012552301</t>
  </si>
  <si>
    <t>30</t>
  </si>
  <si>
    <t>239</t>
  </si>
  <si>
    <t>Arimide</t>
  </si>
  <si>
    <t>High Level of HIV Drug Resistance and Virologic Nonsuppression Among Female Sex Workers in Ethiopia: A Nationwide Cross-sectional Study</t>
  </si>
  <si>
    <t>Arimide (2022)</t>
  </si>
  <si>
    <t>Number sexual partners per month, CD4 count, age</t>
  </si>
  <si>
    <t>0.108786610878661</t>
  </si>
  <si>
    <t>26</t>
  </si>
  <si>
    <t>Forced into selling sex</t>
  </si>
  <si>
    <t>0.17499999999999999</t>
  </si>
  <si>
    <t>855</t>
  </si>
  <si>
    <t>Client or sexual partner</t>
  </si>
  <si>
    <t>Physical beating</t>
  </si>
  <si>
    <t>1173</t>
  </si>
  <si>
    <t>4900</t>
  </si>
  <si>
    <t>Amogne</t>
  </si>
  <si>
    <t>Prevalence and correlates of physical violence and rape among female sex workers in Ethiopia: a Cross-sectional study with Respondent-driven sampling from 11 major towns</t>
  </si>
  <si>
    <t>Amogne (2019)</t>
  </si>
  <si>
    <t>0.152</t>
  </si>
  <si>
    <t>742</t>
  </si>
  <si>
    <t>Rape</t>
  </si>
  <si>
    <t>Age, condom use, condom breakage, sex during menstrual cycle, place of sex</t>
  </si>
  <si>
    <t>0.22</t>
  </si>
  <si>
    <t>0.19</t>
  </si>
  <si>
    <t>HIV test result</t>
  </si>
  <si>
    <t>0.11548556430446194</t>
  </si>
  <si>
    <t>Sexual assault</t>
  </si>
  <si>
    <t>0.1994750656167979</t>
  </si>
  <si>
    <t>76</t>
  </si>
  <si>
    <t>Hawassa</t>
  </si>
  <si>
    <t>381</t>
  </si>
  <si>
    <t>Alemu</t>
  </si>
  <si>
    <t>Magnitude of HIV Infection and Associated Factors among Female Sex Workers at Hawassa, Ethiopia</t>
  </si>
  <si>
    <t>Alemu (2022)</t>
  </si>
  <si>
    <t>0.10088911411065554</t>
  </si>
  <si>
    <t>2190</t>
  </si>
  <si>
    <t>Experienced violence</t>
  </si>
  <si>
    <t>Experience violence</t>
  </si>
  <si>
    <t>0.15594048002948357</t>
  </si>
  <si>
    <t>3385</t>
  </si>
  <si>
    <t>21707</t>
  </si>
  <si>
    <t>Alary</t>
  </si>
  <si>
    <t>Increased HIV prevention program coverage and decline in HIV prevalence among female sex workers in south India</t>
  </si>
  <si>
    <t>Alary (2014)</t>
  </si>
  <si>
    <t>HIV positive status</t>
  </si>
  <si>
    <t>1317</t>
  </si>
  <si>
    <t>Tajikistan</t>
  </si>
  <si>
    <t>2174</t>
  </si>
  <si>
    <t>Alaei</t>
  </si>
  <si>
    <t>HIV and associated factors among female sex workers in Tajikistan: Analysis from a national bio-behavioral survey</t>
  </si>
  <si>
    <t>Alaei (2021)</t>
  </si>
  <si>
    <t>53</t>
  </si>
  <si>
    <t>Violence episode</t>
  </si>
  <si>
    <t>Violence episode from a client</t>
  </si>
  <si>
    <t>78</t>
  </si>
  <si>
    <t>Conakry</t>
  </si>
  <si>
    <t>Guinea</t>
  </si>
  <si>
    <t>Healthcare setting</t>
  </si>
  <si>
    <t>Aho</t>
  </si>
  <si>
    <t>Prevalence of HIV, human papillomavirus type 16 and herpes simplex virus type 2 among female sex workers in Guinea and associated factors</t>
  </si>
  <si>
    <t>Aho (2013)</t>
  </si>
  <si>
    <t>Age, age at first sex, marital status, education, income, condom breakage, lubricant use, history of STI, Treponema Pallidum test, alcohol use</t>
  </si>
  <si>
    <t>0.43</t>
  </si>
  <si>
    <t>1356</t>
  </si>
  <si>
    <t>History of physical violence</t>
  </si>
  <si>
    <t>0.187</t>
  </si>
  <si>
    <t>1138</t>
  </si>
  <si>
    <t>6085</t>
  </si>
  <si>
    <t>Abdella</t>
  </si>
  <si>
    <t>HIV prevalence and associated factors among female sex workers in Ethiopia, east Africa: A Cross-sectional study using a Respondent-driven sampling technique</t>
  </si>
  <si>
    <t>Abdella (2022)</t>
  </si>
  <si>
    <t>adjusted_for</t>
  </si>
  <si>
    <t>adj_p_val</t>
  </si>
  <si>
    <t>adj_upper</t>
  </si>
  <si>
    <t>adj_lower</t>
  </si>
  <si>
    <t>adj_est</t>
  </si>
  <si>
    <t>adj_effect</t>
  </si>
  <si>
    <t>un_p_val</t>
  </si>
  <si>
    <t>un_upper</t>
  </si>
  <si>
    <t>un_lower</t>
  </si>
  <si>
    <t>unadj_est</t>
  </si>
  <si>
    <t>una_effect</t>
  </si>
  <si>
    <t>effect_best_upper</t>
  </si>
  <si>
    <t>effect_best_lower</t>
  </si>
  <si>
    <t>effect_best</t>
  </si>
  <si>
    <t>effect_best_model</t>
  </si>
  <si>
    <t>adj</t>
  </si>
  <si>
    <t>outcome_tf_bin</t>
  </si>
  <si>
    <t>outcome_time_frame</t>
  </si>
  <si>
    <t>outcome_denominator</t>
  </si>
  <si>
    <t>current</t>
  </si>
  <si>
    <t>outcome_definition_short</t>
  </si>
  <si>
    <t>outcome_bin</t>
  </si>
  <si>
    <t>outcome_definition</t>
  </si>
  <si>
    <t>outcome</t>
  </si>
  <si>
    <t>use_exposed</t>
  </si>
  <si>
    <t>exposed_perc</t>
  </si>
  <si>
    <t>exposed_num</t>
  </si>
  <si>
    <t>perpetrator</t>
  </si>
  <si>
    <t>exposure_tf_bin</t>
  </si>
  <si>
    <t>exposure_time_frame</t>
  </si>
  <si>
    <t>exposure_definition_short</t>
  </si>
  <si>
    <t>exposure_definition</t>
  </si>
  <si>
    <t>exposure_type</t>
  </si>
  <si>
    <t>hiv_perc</t>
  </si>
  <si>
    <t>hiv_num</t>
  </si>
  <si>
    <t>fsw_prop</t>
  </si>
  <si>
    <t>sw_time_frame</t>
  </si>
  <si>
    <t>rob_score_3cat</t>
  </si>
  <si>
    <t>cities</t>
  </si>
  <si>
    <t>country</t>
  </si>
  <si>
    <t>recruitment</t>
  </si>
  <si>
    <t>study_setting</t>
  </si>
  <si>
    <t>design</t>
  </si>
  <si>
    <t>pub_type</t>
  </si>
  <si>
    <t>pre_2016</t>
  </si>
  <si>
    <t>year</t>
  </si>
  <si>
    <t>author</t>
  </si>
  <si>
    <t>title</t>
  </si>
  <si>
    <t>study</t>
  </si>
  <si>
    <t>Duff (2016)</t>
  </si>
  <si>
    <t>Barriers to Viral Suppression among Female Sex Workers: Role of Structural and Intimate Partner Dynamics</t>
  </si>
  <si>
    <t>Duff</t>
  </si>
  <si>
    <t>Prospective cohort</t>
  </si>
  <si>
    <t>72</t>
  </si>
  <si>
    <t>Canada</t>
  </si>
  <si>
    <t>Vancouver</t>
  </si>
  <si>
    <t>Physical/sexual violence by client</t>
  </si>
  <si>
    <t>Physical/sexual violence</t>
  </si>
  <si>
    <t>13</t>
  </si>
  <si>
    <t>0.180555555555556</t>
  </si>
  <si>
    <t>&lt;50 copies/ml</t>
  </si>
  <si>
    <t>Ever used ART</t>
  </si>
  <si>
    <t>Emmanuel (2021)</t>
  </si>
  <si>
    <t>Prevalence and factors associated with HIV epidemic among female sex workers in Pakistan: Results of the fifth round of integrated biological and behavioural surveillance</t>
  </si>
  <si>
    <t>Emmanuel</t>
  </si>
  <si>
    <t>5660</t>
  </si>
  <si>
    <t>Pakistan</t>
  </si>
  <si>
    <t>Eastern Mediterranean Region</t>
  </si>
  <si>
    <t>121</t>
  </si>
  <si>
    <t>Faced violence</t>
  </si>
  <si>
    <t>Blood samples were tested for HIV using ‘Alere Determine HIV-1/2 Ag/Ab Combo’ and in case of a positive result were further confirmed by ‘UniNAGoldHIV test’.</t>
  </si>
  <si>
    <t>Faini (2022)</t>
  </si>
  <si>
    <t>The Prevalence, Incidence, and Risk Factors for HIV Among Female Sex Workers - A Cohort Being Prepared for a Phase IIb HIV Vaccine Trial in Dar es Salaam, Tanzania</t>
  </si>
  <si>
    <t>Faini</t>
  </si>
  <si>
    <t>773</t>
  </si>
  <si>
    <t>Tanzania</t>
  </si>
  <si>
    <t>Dar es Salaam</t>
  </si>
  <si>
    <t>59</t>
  </si>
  <si>
    <t>142</t>
  </si>
  <si>
    <t>0.1846553966189857</t>
  </si>
  <si>
    <t>The HIV testing procedure was based on rapid testsperformed at the study site by a trained laboratory scientistand verified in the Microbiology and Immunology laboratoryat MUHAS.</t>
  </si>
  <si>
    <t>Goldenberg (2013)</t>
  </si>
  <si>
    <t>Individual, interpersonal, and social-structural correlates of involuntary sex exchange among female sex workers in two Mexico-U.S. border cities</t>
  </si>
  <si>
    <t>Goldenberg</t>
  </si>
  <si>
    <t>214</t>
  </si>
  <si>
    <t>Mexico</t>
  </si>
  <si>
    <t>9</t>
  </si>
  <si>
    <t>Involuntary sex exchange</t>
  </si>
  <si>
    <t>31</t>
  </si>
  <si>
    <t>0.14499999999999999</t>
  </si>
  <si>
    <t>Tested positive for HIV</t>
  </si>
  <si>
    <t>0.505</t>
  </si>
  <si>
    <t>Goldenberg (2016a)</t>
  </si>
  <si>
    <t>War-Related Abduction and History of Incarceration Linked to High Burden of HIV among Female Sex Workers in conflict-affected Northern Uganda</t>
  </si>
  <si>
    <t>400</t>
  </si>
  <si>
    <t>Gulu</t>
  </si>
  <si>
    <t>135</t>
  </si>
  <si>
    <t>0.3375</t>
  </si>
  <si>
    <t>Verbal, physical, or sexual violence by police/soldiers</t>
  </si>
  <si>
    <t>Verbal, physical, or sexual violence</t>
  </si>
  <si>
    <t>37</t>
  </si>
  <si>
    <t>0.0925</t>
  </si>
  <si>
    <t>Rapid testing was conducted using the Alere Determine HIV-1/2 test; for positive results, confirmatory testing was performed using STAT PAK. For discordant results between rapid and confirmatory testing, the Unigold confirmatory test was used.</t>
  </si>
  <si>
    <t>0.85199999999999998</t>
  </si>
  <si>
    <t>Verbal, physical, or sexual violence by intimate partner</t>
  </si>
  <si>
    <t>66</t>
  </si>
  <si>
    <t>0.165</t>
  </si>
  <si>
    <t>0.51700000000000002</t>
  </si>
  <si>
    <t>Physical or sexual violence by customers</t>
  </si>
  <si>
    <t>314</t>
  </si>
  <si>
    <t>0.785</t>
  </si>
  <si>
    <t>0.44400000000000001</t>
  </si>
  <si>
    <t>0.33750000000000002</t>
  </si>
  <si>
    <t>Other violence</t>
  </si>
  <si>
    <t>Abducted into the Lord's Resistance Army</t>
  </si>
  <si>
    <t>Army</t>
  </si>
  <si>
    <t>129</t>
  </si>
  <si>
    <t>0.3225</t>
  </si>
  <si>
    <t>Goldenberg (2016b)</t>
  </si>
  <si>
    <t>Structural Barriers to Antiretroviral Therapy Among Sex Workers Living with HIV: Findings of a Longitudinal Study in Vancouver, Canada</t>
  </si>
  <si>
    <t>Client-perpetrated physical/sexual violence (yes vs. no)</t>
  </si>
  <si>
    <t>10</t>
  </si>
  <si>
    <t>0.13513513513513514</t>
  </si>
  <si>
    <t>ART adherence</t>
  </si>
  <si>
    <t>No gaps in ART use (defined as not having any ART dispensed in the 6-month period preceding the survey date of a participant who was previously diagnosed as HIV-seropositive) (yes vs. no)</t>
  </si>
  <si>
    <t>No gaps in ART use past 6 months</t>
  </si>
  <si>
    <t>Goldenberg (2019)</t>
  </si>
  <si>
    <t>High burden of previously undiagnosed HIV infections and gaps in HIV care cascade for conflict-affected female sex workers in northern Uganda</t>
  </si>
  <si>
    <t>89</t>
  </si>
  <si>
    <t>Client sexual/physical violence</t>
  </si>
  <si>
    <t>Sexual/physical abuse</t>
  </si>
  <si>
    <t>39</t>
  </si>
  <si>
    <t>0.43820224719101125</t>
  </si>
  <si>
    <t>0.33100000000000002</t>
  </si>
  <si>
    <t>Intimate partner violence</t>
  </si>
  <si>
    <t>0.5280898876404494</t>
  </si>
  <si>
    <t>0.6</t>
  </si>
  <si>
    <t>Guure (2023)</t>
  </si>
  <si>
    <t>Correlates of prevalent HIV infection among adolescents, young adults, and older adult female sex workers in Ghana: Analysis of data from the Ghana biobehavioral survey</t>
  </si>
  <si>
    <t>Guure</t>
  </si>
  <si>
    <t>264</t>
  </si>
  <si>
    <t>Forced sex</t>
  </si>
  <si>
    <t>986</t>
  </si>
  <si>
    <t>0.15479999999999999</t>
  </si>
  <si>
    <t>HIV status results</t>
  </si>
  <si>
    <t>0.16400000000000001</t>
  </si>
  <si>
    <t>Adjusted for variables that were statistically significant on bivariate analysis (not reported)</t>
  </si>
  <si>
    <t>Hendrickson (2018)</t>
  </si>
  <si>
    <t>Work-related mobility and experiences of gender-based violence among female sex workers in Iringa, Tanzania: a Cross-sectional analysis of baseline data from Project Shikamana</t>
  </si>
  <si>
    <t>Hendrickson</t>
  </si>
  <si>
    <t>496</t>
  </si>
  <si>
    <t>Iringa</t>
  </si>
  <si>
    <t>203</t>
  </si>
  <si>
    <t>0.409274193548387</t>
  </si>
  <si>
    <t>Any physical or sexual GBV</t>
  </si>
  <si>
    <t>Physical or sexual GBV</t>
  </si>
  <si>
    <t>197</t>
  </si>
  <si>
    <t>0.397177419354839</t>
  </si>
  <si>
    <t>Hensen (2019)</t>
  </si>
  <si>
    <t>HIV risk among young women who sell sex by whether they identify as sex workers: analysis of Respondent-driven sampling surveys, Zimbabwe, 2017</t>
  </si>
  <si>
    <t>Hensen</t>
  </si>
  <si>
    <t>2387</t>
  </si>
  <si>
    <t>543</t>
  </si>
  <si>
    <t>0.23599999999999999</t>
  </si>
  <si>
    <t>390</t>
  </si>
  <si>
    <t>0.158</t>
  </si>
  <si>
    <t>HIV testing was performed by a nurse using rapid HIV tests on a fingerNAprick blood sample</t>
  </si>
  <si>
    <t>Experienced physical violence from sexual partner</t>
  </si>
  <si>
    <t>972</t>
  </si>
  <si>
    <t>0.38800000000000001</t>
  </si>
  <si>
    <t>Age, education, marital status, sex work history, recent sexual behaviours</t>
  </si>
  <si>
    <t>Hladik (2017)</t>
  </si>
  <si>
    <t>Burden and characteristics of HIV infection among female sex workers in Kampala, Uganda - a Respondent-driven sampling survey</t>
  </si>
  <si>
    <t>Hladik</t>
  </si>
  <si>
    <t>942</t>
  </si>
  <si>
    <t>323</t>
  </si>
  <si>
    <t>0.33</t>
  </si>
  <si>
    <t>Raped by customer</t>
  </si>
  <si>
    <t>Raped</t>
  </si>
  <si>
    <t>243</t>
  </si>
  <si>
    <t>0.25796178343949044</t>
  </si>
  <si>
    <t>Testing for HIV-1 antibodies was performed in parallel using Vironostika® HIV Uniform II plus O2 (bioMeriéux, Marcy l’Etoile, France) and Murex® HIV Ag/Ab Combination (Abbott  Laboratories, Abbott  Park, Illinois,U.S.A.)</t>
  </si>
  <si>
    <t>0.83699999999999997</t>
  </si>
  <si>
    <t>308</t>
  </si>
  <si>
    <t>0.32696390658174096</t>
  </si>
  <si>
    <t>Violence due to selling sex</t>
  </si>
  <si>
    <t>433</t>
  </si>
  <si>
    <t>0.46</t>
  </si>
  <si>
    <t>Iakunchykova (2017)</t>
  </si>
  <si>
    <t>Correlates of HIV and Inconsistent Condom Use Among Female Sex Workers in Ukraine</t>
  </si>
  <si>
    <t>Iakunchykova</t>
  </si>
  <si>
    <t>4806</t>
  </si>
  <si>
    <t>Ukraine</t>
  </si>
  <si>
    <t>270</t>
  </si>
  <si>
    <t>Experienced any violence during sex work</t>
  </si>
  <si>
    <t>Any violence during sex work</t>
  </si>
  <si>
    <t>Blood samples were tested for HIV with the immunochromatographic test systems 0/CITOTEST HIV 1/2/0.</t>
  </si>
  <si>
    <t>Izadi (2023)</t>
  </si>
  <si>
    <t>HIV prevalence and associated factors among female sex workers in Iran: a bio-behavioral survey in 2020</t>
  </si>
  <si>
    <t>Izadi</t>
  </si>
  <si>
    <t>1515</t>
  </si>
  <si>
    <t>Iran</t>
  </si>
  <si>
    <t>24</t>
  </si>
  <si>
    <t>Had violent sex</t>
  </si>
  <si>
    <t>Violent sex</t>
  </si>
  <si>
    <t>600</t>
  </si>
  <si>
    <t>0.39787798408488062</t>
  </si>
  <si>
    <t>A rapid test (SD BIOLINE HIV/Syphilis Duo Rapid Test, Standard Diagnostics, GyeonggiNAdo, South Korea) and, if the first rapid test was reactive, confirmation by a second test,  i.e.,  enzymeNAlinked  immunosorbent  assay  (ELISA).</t>
  </si>
  <si>
    <t>0.153</t>
  </si>
  <si>
    <t>Jennings Mayo-Wilson (2023)</t>
  </si>
  <si>
    <t>Economic Abuse and Care-seeking Practices for HIV and Financial Support Services in Women Employed by Sex Work: A Cross-sectional Baseline Assessment of a Clinical Trial Cohort in Uganda</t>
  </si>
  <si>
    <t>Jennings Mayo-Wilson</t>
  </si>
  <si>
    <t>542</t>
  </si>
  <si>
    <t>0.35424354243542433</t>
  </si>
  <si>
    <t>Reported economic abuse (high vs. low)</t>
  </si>
  <si>
    <t>ART initiation</t>
  </si>
  <si>
    <t>Initiated ART</t>
  </si>
  <si>
    <t>Age, education, partnership status</t>
  </si>
  <si>
    <t>Reported economic abuse (medium vs. low)</t>
  </si>
  <si>
    <t>Jones (2023)</t>
  </si>
  <si>
    <t>Temporal trends in, and risk factors for, HIV seroconversion among female sex workers accessing Zimbabwe's national sex worker programme, 2009-19: a retrospective cohort analysis of routinely collected HIV testing data</t>
  </si>
  <si>
    <t>Jones</t>
  </si>
  <si>
    <t>Retrospective cohort</t>
  </si>
  <si>
    <t>Gender-based violence</t>
  </si>
  <si>
    <t>Any perpretator</t>
  </si>
  <si>
    <t>1292</t>
  </si>
  <si>
    <t>0.20349661363994329</t>
  </si>
  <si>
    <t>HIV incidence</t>
  </si>
  <si>
    <t>Midpoint between last HIV- test and first HIV+ test</t>
  </si>
  <si>
    <t>HR</t>
  </si>
  <si>
    <t>0.47</t>
  </si>
  <si>
    <t>Age, mean time between HIV test</t>
  </si>
  <si>
    <t>Kakisingi (2020)</t>
  </si>
  <si>
    <t>Prevalence and characteristics of HIV infection among female sex workers in Lubumbashi, Democratic Republic of Congo</t>
  </si>
  <si>
    <t>Kakisingi</t>
  </si>
  <si>
    <t>1555</t>
  </si>
  <si>
    <t>Democratic Republic of the Congo</t>
  </si>
  <si>
    <t>Lubumbashi</t>
  </si>
  <si>
    <t>127</t>
  </si>
  <si>
    <t>Sexual violence due to selling sex</t>
  </si>
  <si>
    <t>32</t>
  </si>
  <si>
    <t>First Response Rapid Test (Determine Alere); if positive, confirmation by UniNAGold Rapid Test (TrinityNABiotech) and Vikia (Biomerieu).</t>
  </si>
  <si>
    <t>0.80100000000000005</t>
  </si>
  <si>
    <t>0.63900000000000001</t>
  </si>
  <si>
    <t>Kassanjee (2022)</t>
  </si>
  <si>
    <t>HIV incidence estimation among female sex workers in South Africa: a multiple methods analysis of cross-sectional survey data</t>
  </si>
  <si>
    <t>Kassanjee</t>
  </si>
  <si>
    <t>2999</t>
  </si>
  <si>
    <t>1862</t>
  </si>
  <si>
    <t>0.621</t>
  </si>
  <si>
    <t>Client sexual violence</t>
  </si>
  <si>
    <t>1447</t>
  </si>
  <si>
    <t>0.48249416472157386</t>
  </si>
  <si>
    <t>Prevalence of recent infection</t>
  </si>
  <si>
    <t>RR</t>
  </si>
  <si>
    <t>Kelly-Hanku (2020)</t>
  </si>
  <si>
    <t>Factors associated with HIV and syphilis infection among female sex workers in three cities in Papua New Guinea: Findings from Kauntim mi tu, a biobehavioral survey</t>
  </si>
  <si>
    <t>Kelly-Hanku</t>
  </si>
  <si>
    <t>Papua New Guinea</t>
  </si>
  <si>
    <t>Western Pacific Region</t>
  </si>
  <si>
    <t>310</t>
  </si>
  <si>
    <t>109</t>
  </si>
  <si>
    <t>0.28000000000000003</t>
  </si>
  <si>
    <t>Sex work as source of income, anal sex, years selling sex, used internet to meet clients, main male partner, contact with outreach worker, can count on other sex workers to borrow money, given free condoms, residence, casual male partner, STI symptoms</t>
  </si>
  <si>
    <t>Kerrigan (2017)</t>
  </si>
  <si>
    <t>Project Shikamana: Baseline findings from a community empowerment-based combination HIV prevention trial among female sex workers in iringa, tanzania</t>
  </si>
  <si>
    <t>Kerrigan</t>
  </si>
  <si>
    <t>252</t>
  </si>
  <si>
    <t>&lt;400 copies/mL</t>
  </si>
  <si>
    <t>0.4</t>
  </si>
  <si>
    <t>0.40927419354838712</t>
  </si>
  <si>
    <t>0.50800000000000001</t>
  </si>
  <si>
    <t>Dual paralle lalgorithm of the UniNAGold and Determine rapid HIV-1 antibodytests in the field at the time of the survey, followed by a repeat dual parallel algorithm of these same tests after 2 weeks in the case of discordant results.</t>
  </si>
  <si>
    <t>Kumar (2014)</t>
  </si>
  <si>
    <t>Predictors of HIV prevalence among street-based female sex workers in Andhra Pradesh state of India: A district-level analysis</t>
  </si>
  <si>
    <t>Kumar</t>
  </si>
  <si>
    <t>3873</t>
  </si>
  <si>
    <t>Andhra Pradesh</t>
  </si>
  <si>
    <t>551</t>
  </si>
  <si>
    <t>0.142266976504002</t>
  </si>
  <si>
    <t>Episode of violence/forced sex</t>
  </si>
  <si>
    <t>Violence or forced sex</t>
  </si>
  <si>
    <t>960</t>
  </si>
  <si>
    <t>0.247869868319132</t>
  </si>
  <si>
    <t>District level intercept</t>
  </si>
  <si>
    <t>Leddy (2018)</t>
  </si>
  <si>
    <t>Adapting the Risk Environment Framework to Understand Substance Use, gender-based Violence, and HIV Risk Behaviors Among Female Sex Workers in Tanzania</t>
  </si>
  <si>
    <t>Leddy</t>
  </si>
  <si>
    <t>Iringa region</t>
  </si>
  <si>
    <t>Physical or sexual GBV from any perpetrator</t>
  </si>
  <si>
    <t>HIV positive aware</t>
  </si>
  <si>
    <t>0.08</t>
  </si>
  <si>
    <t>0.04</t>
  </si>
  <si>
    <t>Lima (2017)</t>
  </si>
  <si>
    <t>Factors associated with violence against female sex workers in ten Brazilian cities</t>
  </si>
  <si>
    <t>Lima</t>
  </si>
  <si>
    <t>Clients</t>
  </si>
  <si>
    <t>295</t>
  </si>
  <si>
    <t>0.11700000000000001</t>
  </si>
  <si>
    <t>Family member</t>
  </si>
  <si>
    <t>419</t>
  </si>
  <si>
    <t>0.16600000000000001</t>
  </si>
  <si>
    <t>0.184</t>
  </si>
  <si>
    <t>636</t>
  </si>
  <si>
    <t>0.252</t>
  </si>
  <si>
    <t>0.11899999999999999</t>
  </si>
  <si>
    <t>Any perpetrator</t>
  </si>
  <si>
    <t>961</t>
  </si>
  <si>
    <t>0.38100000000000001</t>
  </si>
  <si>
    <t>0.05</t>
  </si>
  <si>
    <t>199</t>
  </si>
  <si>
    <t>Lyons (2017)</t>
  </si>
  <si>
    <t>Physical and sexual violence affecting female sex workers in Abidjan, cote d'ivoire: Prevalence, and the relationship with the work environment, HIV, and access to health services</t>
  </si>
  <si>
    <t>Lyons</t>
  </si>
  <si>
    <t>466</t>
  </si>
  <si>
    <t>Côte d’Ivoire</t>
  </si>
  <si>
    <t>Abidjan</t>
  </si>
  <si>
    <t>50</t>
  </si>
  <si>
    <t>0.11</t>
  </si>
  <si>
    <t>Experiencing forced sex through physical force, coercion, or penetration with an object against one’s will</t>
  </si>
  <si>
    <t>Living with HIV (Determine Rapid Test)</t>
  </si>
  <si>
    <t>Ever been tested for HIV</t>
  </si>
  <si>
    <t>Violently pushed, shoved, slapped, hit, kicked, choked, or otherwise physically hurt</t>
  </si>
  <si>
    <t>250</t>
  </si>
  <si>
    <t>Ever tested for HIV</t>
  </si>
  <si>
    <t>Currently on ART (yes vs. no)</t>
  </si>
  <si>
    <t>Currently on ART</t>
  </si>
  <si>
    <t>Lyons (2020)</t>
  </si>
  <si>
    <t>The role of sex work laws and stigmas in increasing HIV risks among sex workers</t>
  </si>
  <si>
    <t>7259</t>
  </si>
  <si>
    <t>Multi-country</t>
  </si>
  <si>
    <t>2070</t>
  </si>
  <si>
    <t>0.28516324562611928</t>
  </si>
  <si>
    <t>Forced sex not attributed to sex work only</t>
  </si>
  <si>
    <t>2207</t>
  </si>
  <si>
    <t>0.30499999999999999</t>
  </si>
  <si>
    <t>Age, education level, marital status, years in sex work, countryNAlevel epidemic, and clustered by site and by country. Adjusted for disclosure of sex work to family of healthcare providerwhen conceptual relevant (social stigma; healthcareNArelated stigma)</t>
  </si>
  <si>
    <t>Physical violence not attributed to sex work only</t>
  </si>
  <si>
    <t>2359</t>
  </si>
  <si>
    <t>0.32600000000000001</t>
  </si>
  <si>
    <t>MacLin (2023)</t>
  </si>
  <si>
    <t>Comparing typologies of violence exposure and associations with syndemic health outcomes among cisgender and transgender female sex workers living with HIV in the Dominican Republic</t>
  </si>
  <si>
    <t>MacLin</t>
  </si>
  <si>
    <t>211</t>
  </si>
  <si>
    <t>Santo Domingo</t>
  </si>
  <si>
    <t>Violence exposure among cisgender sex workers (Low Reported Violence Exposure vs. Sex Work-related Police Harassment)</t>
  </si>
  <si>
    <t>0.12322274881516587</t>
  </si>
  <si>
    <t>Did not stop taking ART in past 6 months (yes vs. no)</t>
  </si>
  <si>
    <t>Did not stop taking ART in past 6 months</t>
  </si>
  <si>
    <t>0.113</t>
  </si>
  <si>
    <t>9.4E-2</t>
  </si>
  <si>
    <t>ART adherent in past 4 days</t>
  </si>
  <si>
    <t>0.56399999999999995</t>
  </si>
  <si>
    <t>0.44700000000000001</t>
  </si>
  <si>
    <t>0.123222748815166</t>
  </si>
  <si>
    <t>0.72599999999999998</t>
  </si>
  <si>
    <t>0.69299999999999995</t>
  </si>
  <si>
    <t>Mendoza (2017)</t>
  </si>
  <si>
    <t>Violence from a sexual partner is significantly associated with poor HIV care and treatment outcomes among female sex workers in the Dominican Republic</t>
  </si>
  <si>
    <t>Mendoza</t>
  </si>
  <si>
    <t>268</t>
  </si>
  <si>
    <t>Violence by any client</t>
  </si>
  <si>
    <t>Violence</t>
  </si>
  <si>
    <t>33</t>
  </si>
  <si>
    <t>0.12313432835820895</t>
  </si>
  <si>
    <t>Did not miss ART dose in last 4 days (yes vs. no)</t>
  </si>
  <si>
    <t>Did not miss ART dose in last 4 days</t>
  </si>
  <si>
    <t>&lt;0.01</t>
  </si>
  <si>
    <t>Age, civil status, education, number of children, current residence, type of sex work venue, years in sex work, average price per date, alcohol use, and drug use</t>
  </si>
  <si>
    <t>Violence by any intimate partner</t>
  </si>
  <si>
    <t>0.02</t>
  </si>
  <si>
    <t>ART coverage</t>
  </si>
  <si>
    <t>Never interrupted ART (yes vs.no)</t>
  </si>
  <si>
    <t>Never interrupted ART</t>
  </si>
  <si>
    <t>0.09</t>
  </si>
  <si>
    <t>0.1</t>
  </si>
  <si>
    <t>Ever taken ART (yes vs. no)</t>
  </si>
  <si>
    <t>Ever taken ART</t>
  </si>
  <si>
    <t>0.67</t>
  </si>
  <si>
    <t>0.91</t>
  </si>
  <si>
    <t>Sexual partner</t>
  </si>
  <si>
    <t>49</t>
  </si>
  <si>
    <t>0.18283582089552239</t>
  </si>
  <si>
    <t>Violence by any sexual partner</t>
  </si>
  <si>
    <t>0.16</t>
  </si>
  <si>
    <t>0.55000000000000004</t>
  </si>
  <si>
    <t>Violence by any client in past 6 months</t>
  </si>
  <si>
    <t>0.89</t>
  </si>
  <si>
    <t>0.21</t>
  </si>
  <si>
    <t>0.14000000000000001</t>
  </si>
  <si>
    <t>Mizinduko (2020)</t>
  </si>
  <si>
    <t>HIV prevalence and associated risk factors among female sex workers in Dar es Salaam, Tanzania: tracking the epidemic</t>
  </si>
  <si>
    <t>Mizinduko</t>
  </si>
  <si>
    <t>958</t>
  </si>
  <si>
    <t>169</t>
  </si>
  <si>
    <t>0.17599999999999999</t>
  </si>
  <si>
    <t>312</t>
  </si>
  <si>
    <t>Age, education, marital status, current living status, age at first sold sex, payment received when last sold sex, forced sex status in the past one year, primary meeting point with clients, and reason for first sold sex.</t>
  </si>
  <si>
    <t>Mountain</t>
  </si>
  <si>
    <t>Mukherjee (2022)</t>
  </si>
  <si>
    <t>Social and structural determinants of health associated with police violence victimization: A latent class analysis of female sex workers who use drugs in Kazakhstan</t>
  </si>
  <si>
    <t>Mukherjee</t>
  </si>
  <si>
    <t>255</t>
  </si>
  <si>
    <t>Kazakhstan</t>
  </si>
  <si>
    <t>0.251</t>
  </si>
  <si>
    <t>Extortion &amp; Discrimination (vs. low victimisation)</t>
  </si>
  <si>
    <t>0.15</t>
  </si>
  <si>
    <t>Tested HIV positive</t>
  </si>
  <si>
    <t>0.38600000000000001</t>
  </si>
  <si>
    <t>Age, educational attainment, and marital status</t>
  </si>
  <si>
    <t>Poly-Victimization (vs. low victimisation)</t>
  </si>
  <si>
    <t>0.34</t>
  </si>
  <si>
    <t>0.46800000000000003</t>
  </si>
  <si>
    <t>0.46300000000000002</t>
  </si>
  <si>
    <t>Mukuku (2024)</t>
  </si>
  <si>
    <t>Assessing high-risk sexual practices associated with human immunodeficiency virus infection among young female sex workers in Lubumbashi, Democratic Republic of the Congo: a Cross-sectional study</t>
  </si>
  <si>
    <t>Mukuku</t>
  </si>
  <si>
    <t>572</t>
  </si>
  <si>
    <t>19</t>
  </si>
  <si>
    <t>HIV status positive</t>
  </si>
  <si>
    <t>Age, duration in sex work, number of clients, anal sex, number of sexual intercourses, condom use, history of STI, alcohol consumption</t>
  </si>
  <si>
    <t>Mulholland (2022)</t>
  </si>
  <si>
    <t>HIV Prevalence and the HIV Treatment Cascade Among Female Sex Workers in Cross-Border Areas in East Africa</t>
  </si>
  <si>
    <t>Mulholland</t>
  </si>
  <si>
    <t>786</t>
  </si>
  <si>
    <t>85</t>
  </si>
  <si>
    <t>Forced against will to have sex</t>
  </si>
  <si>
    <t>158</t>
  </si>
  <si>
    <t>0.20499999999999999</t>
  </si>
  <si>
    <t>0.67400000000000004</t>
  </si>
  <si>
    <t>multi-country</t>
  </si>
  <si>
    <t>Physical IPV</t>
  </si>
  <si>
    <t>0.32300000000000001</t>
  </si>
  <si>
    <t>0.90700000000000003</t>
  </si>
  <si>
    <t>Mutagoma (2017)</t>
  </si>
  <si>
    <t>High HIV prevalence and associated risk factors among female sex workers in Rwanda</t>
  </si>
  <si>
    <t>Mutagoma</t>
  </si>
  <si>
    <t>1338</t>
  </si>
  <si>
    <t>565</t>
  </si>
  <si>
    <t>0.51</t>
  </si>
  <si>
    <t>Experienced violence/ harassment</t>
  </si>
  <si>
    <t>Violence/harassment</t>
  </si>
  <si>
    <t>905</t>
  </si>
  <si>
    <t>0.51200000000000001</t>
  </si>
  <si>
    <t>HIV status: positive</t>
  </si>
  <si>
    <t>Mutagoma (2019)</t>
  </si>
  <si>
    <t>Sexual and physical violence and associated factors among female sex workers in Rwanda: a Cross-sectional survey</t>
  </si>
  <si>
    <t>1978</t>
  </si>
  <si>
    <t>819</t>
  </si>
  <si>
    <t>0.41599999999999998</t>
  </si>
  <si>
    <t>361</t>
  </si>
  <si>
    <t>0.183</t>
  </si>
  <si>
    <t>702</t>
  </si>
  <si>
    <t>0.35599999999999998</t>
  </si>
  <si>
    <t>Nabayinda (2023)</t>
  </si>
  <si>
    <t>Correlates of Intimate Partner Violence Among Young Women Engaged in Sex Work in Southern Uganda</t>
  </si>
  <si>
    <t>Nabayinda</t>
  </si>
  <si>
    <t>220</t>
  </si>
  <si>
    <t>0.406</t>
  </si>
  <si>
    <t>Any intimate partner violence</t>
  </si>
  <si>
    <t>Intimate-partner violence</t>
  </si>
  <si>
    <t>248</t>
  </si>
  <si>
    <t>0.457564575645756</t>
  </si>
  <si>
    <t>0.81499999999999995</t>
  </si>
  <si>
    <t>Sexual intimate partner violence</t>
  </si>
  <si>
    <t>Physical intimate partner violence</t>
  </si>
  <si>
    <t>Namale (2019)</t>
  </si>
  <si>
    <t>Sustained virological response and drug resistance among female sex workers living with HIV on antiretroviral therapy in Kampala, Uganda: A Cross-sectional study</t>
  </si>
  <si>
    <t>Namale</t>
  </si>
  <si>
    <t>432</t>
  </si>
  <si>
    <t>Past 2 years</t>
  </si>
  <si>
    <t>Physical violence from sexual partner(s)</t>
  </si>
  <si>
    <t>148</t>
  </si>
  <si>
    <t>0.46400000000000002</t>
  </si>
  <si>
    <t>Oldenburg (2018)</t>
  </si>
  <si>
    <t>Intimate partner violence and antiretroviral therapy initiation among female sex workers newly diagnosed with HIV in Zambia: A prospective study</t>
  </si>
  <si>
    <t>Oldenburg</t>
  </si>
  <si>
    <t>898</t>
  </si>
  <si>
    <t>Zambia</t>
  </si>
  <si>
    <t>234</t>
  </si>
  <si>
    <t>Physical or sexual intimate partner violence</t>
  </si>
  <si>
    <t>0.243</t>
  </si>
  <si>
    <t>0.47435897435897434</t>
  </si>
  <si>
    <t>HIV positive and starting ART in the 4-month study period (yes vs. no)</t>
  </si>
  <si>
    <t>HIV positive and starting ART in the 4-month study period</t>
  </si>
  <si>
    <t>5.0000000000000001E-3</t>
  </si>
  <si>
    <t>Age, literacy, income, primary partner, site, study arm, education, mobile phone ownership, age at sexual debut, time since HIV diagnosis, age at initiation of sex work, number of clients on an average night</t>
  </si>
  <si>
    <t>25</t>
  </si>
  <si>
    <t>0.49572649572649574</t>
  </si>
  <si>
    <t>0.60683760683760679</t>
  </si>
  <si>
    <t>0.3</t>
  </si>
  <si>
    <t>Ouma (2021)</t>
  </si>
  <si>
    <t>Client-perpetrated gender-based violence among female sex workers in conflict-affected Northern Uganda: A Cross-sectional study</t>
  </si>
  <si>
    <t>Ouma</t>
  </si>
  <si>
    <t>300</t>
  </si>
  <si>
    <t>Gulu district</t>
  </si>
  <si>
    <t>126</t>
  </si>
  <si>
    <t>0.42099999999999999</t>
  </si>
  <si>
    <t>Experienced Client-perpetrated gender-based violence</t>
  </si>
  <si>
    <t>183</t>
  </si>
  <si>
    <t>HIV status</t>
  </si>
  <si>
    <t>&lt;0.20</t>
  </si>
  <si>
    <t>Pando (2013)</t>
  </si>
  <si>
    <t>Violence as a Barrier for HIV Prevention among Female Sex Workers in Argentina</t>
  </si>
  <si>
    <t>Pando</t>
  </si>
  <si>
    <t>1255</t>
  </si>
  <si>
    <t>Number of violent experiences 3</t>
  </si>
  <si>
    <t>Three violent experiences (vs. none)</t>
  </si>
  <si>
    <t>151</t>
  </si>
  <si>
    <t>Nationality (Argentinean vs. other), formal education level (primary or less vs. high school or more), age and place of work (street vs. other).</t>
  </si>
  <si>
    <t>Sexual abuse during lifetime</t>
  </si>
  <si>
    <t>182</t>
  </si>
  <si>
    <t>0.2</t>
  </si>
  <si>
    <t>Beaten because of sex work activity</t>
  </si>
  <si>
    <t>Beaten because of sex work</t>
  </si>
  <si>
    <t>267</t>
  </si>
  <si>
    <t>Consensual first sexual experience or sexually abused at another stage in life</t>
  </si>
  <si>
    <t>Forced first sex or sexual abuse in lifetime</t>
  </si>
  <si>
    <t>219</t>
  </si>
  <si>
    <t>Number of violent experiences 2</t>
  </si>
  <si>
    <t>Two violent experiences (vs. none)</t>
  </si>
  <si>
    <t>330</t>
  </si>
  <si>
    <t>Number of violent experiences 1</t>
  </si>
  <si>
    <t>One violent experience (vs. none)</t>
  </si>
  <si>
    <t>607</t>
  </si>
  <si>
    <t>Number of violent experiences 4</t>
  </si>
  <si>
    <t>Four or more violent experiences (vs. none)</t>
  </si>
  <si>
    <t>56</t>
  </si>
  <si>
    <t>Physically assaulted or arrested by law enforcement during sex work</t>
  </si>
  <si>
    <t>Police assault or arrest</t>
  </si>
  <si>
    <t>Prangnell (2018)</t>
  </si>
  <si>
    <t>Workplace violence among female sex workers who use drugs in Vancouver, Canada: does client-targeted policing increase safety?</t>
  </si>
  <si>
    <t>Prangnell</t>
  </si>
  <si>
    <t>259</t>
  </si>
  <si>
    <t>0.344</t>
  </si>
  <si>
    <t>Physical, sexual, or verbal violence, including abduction, rape, strangling, assault without weapon, assault with weapon, assault with a gun, attempted sexual assault, and verbal abuse</t>
  </si>
  <si>
    <t>Physical, sexual, or verbal violence</t>
  </si>
  <si>
    <t>0.124</t>
  </si>
  <si>
    <t>Ramesh (2012)</t>
  </si>
  <si>
    <t>Relationship between mobility, violence and HIV/STI among female sex workers in Andhra Pradesh, India</t>
  </si>
  <si>
    <t>Ramesh</t>
  </si>
  <si>
    <t>2042</t>
  </si>
  <si>
    <t>Time-space sampling and cluster sampling</t>
  </si>
  <si>
    <t>Physically beaten or forced to have sexual intercourse by any individual</t>
  </si>
  <si>
    <t>Physically beaten or forced to have sex</t>
  </si>
  <si>
    <t>352</t>
  </si>
  <si>
    <t>0.17199999999999999</t>
  </si>
  <si>
    <t>Currently infected with HIV</t>
  </si>
  <si>
    <t>Age, marital status, literacy, alcohol consumption, duration of sex work, primary place of entertaining clients, client volume per week, having a regular male partner and experience of sexual violence in past year/mobility for sex work in past year.</t>
  </si>
  <si>
    <t>Rice (2022)</t>
  </si>
  <si>
    <t>Adolescent Girls Who Sell Sex in Zimbabwe: HIV Risk, Behaviours, and Service Engagement</t>
  </si>
  <si>
    <t>Rice</t>
  </si>
  <si>
    <t>605</t>
  </si>
  <si>
    <t>122</t>
  </si>
  <si>
    <t>0.20200000000000001</t>
  </si>
  <si>
    <t>Experience of sexual violence/abuse</t>
  </si>
  <si>
    <t>Sexual violence/abuse</t>
  </si>
  <si>
    <t>124</t>
  </si>
  <si>
    <t>0.20495867768595041</t>
  </si>
  <si>
    <t>Experience of physical violence/abuse from client</t>
  </si>
  <si>
    <t>Physical violence/abuse</t>
  </si>
  <si>
    <t>0.21983471074380165</t>
  </si>
  <si>
    <t>Experience of physical violence/abuse from steady partner</t>
  </si>
  <si>
    <t>0.24958677685950414</t>
  </si>
  <si>
    <t>0.128</t>
  </si>
  <si>
    <t>Age, site, in school, education level, marital status, place of residence, sex work debut</t>
  </si>
  <si>
    <t>Experience of violence from police</t>
  </si>
  <si>
    <t>0.63700000000000001</t>
  </si>
  <si>
    <t>Schwartz (2016)</t>
  </si>
  <si>
    <t>Engagement in the HIV care cascade and barriers to antiretroviral therapy uptake among female sex workers in Port Elizabeth, South Africa: Findings from a Respondent-driven sampling study</t>
  </si>
  <si>
    <t>Schwartz</t>
  </si>
  <si>
    <t>410</t>
  </si>
  <si>
    <t>Port Elizabeth</t>
  </si>
  <si>
    <t>Experienced physical abuse/violence</t>
  </si>
  <si>
    <t>Physical abuse/violence</t>
  </si>
  <si>
    <t>Current ART use among ART-eligible women aware of their status (yes vs. no)</t>
  </si>
  <si>
    <t>Current ART use among ART-eligible women aware of their status</t>
  </si>
  <si>
    <t>0.19400000000000001</t>
  </si>
  <si>
    <t>0.308</t>
  </si>
  <si>
    <t>Adjusted model controls for variables statistically significant at p&lt;0.20 in univariate analyses and time since HIV diagnosis.</t>
  </si>
  <si>
    <t>Sherman (2019)</t>
  </si>
  <si>
    <t>Drivers of HIV Infection among Cisgender and Transgender Female Sex Worker Populations in Baltimore City: Results from the SAPPHIRE Study</t>
  </si>
  <si>
    <t>Sherman</t>
  </si>
  <si>
    <t>USA</t>
  </si>
  <si>
    <t>Baltimore city</t>
  </si>
  <si>
    <t>Childhood sexual abuse</t>
  </si>
  <si>
    <t>Childhood sexual abuse (CGW)</t>
  </si>
  <si>
    <t>Family or friend</t>
  </si>
  <si>
    <t>0.33400000000000002</t>
  </si>
  <si>
    <t>Childhood physical abuse</t>
  </si>
  <si>
    <t>0.78100000000000003</t>
  </si>
  <si>
    <t>62</t>
  </si>
  <si>
    <t>Childhood sexual abuse (TGW)</t>
  </si>
  <si>
    <t>Age, drug use, schooling, employment, risk environement</t>
  </si>
  <si>
    <t>Shokoohi (2017)</t>
  </si>
  <si>
    <t>Remaining Gap in HIV Testing Uptake Among Female Sex Workers in Iran</t>
  </si>
  <si>
    <t>Shokoohi</t>
  </si>
  <si>
    <t>Experienced sexual violence</t>
  </si>
  <si>
    <t>512</t>
  </si>
  <si>
    <t>0.39597834493426143</t>
  </si>
  <si>
    <t>Type of sample, incarceration history, HIV knowledge, number of partners, condom use, harm reduction use, health service utilisation, knowing a site for HIV testing</t>
  </si>
  <si>
    <t>Shrestha (2017)</t>
  </si>
  <si>
    <t>Why don't key populations access HIV testing and counselling centres in Nepal? Findings based on national surveillance survey</t>
  </si>
  <si>
    <t>Shrestha</t>
  </si>
  <si>
    <t>610</t>
  </si>
  <si>
    <t>Nepal</t>
  </si>
  <si>
    <t>Terai highway</t>
  </si>
  <si>
    <t>0.01</t>
  </si>
  <si>
    <t>Physical assault</t>
  </si>
  <si>
    <t>0.13278688524590163</t>
  </si>
  <si>
    <t>Having dependents, injecting drugs, participated in HIV programme, depression</t>
  </si>
  <si>
    <t>125</t>
  </si>
  <si>
    <t>0.20491803278688525</t>
  </si>
  <si>
    <t>Sileo (2018)</t>
  </si>
  <si>
    <t>The intersection of intimate partner violence and HIV risk among women engaging in transactional sex in Ugandan fishing villages</t>
  </si>
  <si>
    <t>Sileo</t>
  </si>
  <si>
    <t>115</t>
  </si>
  <si>
    <t>Any physical intimate partner violence</t>
  </si>
  <si>
    <t>46</t>
  </si>
  <si>
    <t>Self-reported</t>
  </si>
  <si>
    <t>0.92</t>
  </si>
  <si>
    <t>0.51300000000000001</t>
  </si>
  <si>
    <t>Any sexual intimate partner violence</t>
  </si>
  <si>
    <t>0.53900000000000003</t>
  </si>
  <si>
    <t>Any emotional intimate partner violence</t>
  </si>
  <si>
    <t>0.583</t>
  </si>
  <si>
    <t>0.61699999999999999</t>
  </si>
  <si>
    <t>0.03</t>
  </si>
  <si>
    <t>Any emotional violence</t>
  </si>
  <si>
    <t>0.06</t>
  </si>
  <si>
    <t>Strathdee (2011)</t>
  </si>
  <si>
    <t>Social and structural factors associated with HIV infection among female sex workers who inject drugs in the Mexico-US border region</t>
  </si>
  <si>
    <t>Strathdee</t>
  </si>
  <si>
    <t>620</t>
  </si>
  <si>
    <t>Sexually abused/raped by intimate partner</t>
  </si>
  <si>
    <t>Sexually abused/raped</t>
  </si>
  <si>
    <t>34</t>
  </si>
  <si>
    <t>0.7</t>
  </si>
  <si>
    <t>Sexually abused/raped by client</t>
  </si>
  <si>
    <t>138</t>
  </si>
  <si>
    <t>0.23</t>
  </si>
  <si>
    <t>0.83</t>
  </si>
  <si>
    <t>Physically abused as a child</t>
  </si>
  <si>
    <t>150</t>
  </si>
  <si>
    <t>0.25</t>
  </si>
  <si>
    <t>Sexually abused as a child</t>
  </si>
  <si>
    <t>205</t>
  </si>
  <si>
    <t>0.56999999999999995</t>
  </si>
  <si>
    <t>Szwarcwald (2017)</t>
  </si>
  <si>
    <t>Factors associated with HIV infection among female sex workers in Brazil</t>
  </si>
  <si>
    <t>Szwarcwald</t>
  </si>
  <si>
    <t>Exposed to physical violence at least once in a lifetime</t>
  </si>
  <si>
    <t>0.68500000000000005</t>
  </si>
  <si>
    <t>Exposed to sexual violence at least once in a lifetime</t>
  </si>
  <si>
    <t>Tokar (2013)</t>
  </si>
  <si>
    <t>Personal experience of violence as potential risk factor of HIV/STI Among FSWs in Ukraine</t>
  </si>
  <si>
    <t>Tokar</t>
  </si>
  <si>
    <t>5023</t>
  </si>
  <si>
    <t>Respondent-driven and Time-space sampling</t>
  </si>
  <si>
    <t>Experienced violence from police</t>
  </si>
  <si>
    <t>Personal experience of violence</t>
  </si>
  <si>
    <t>Experienced violence from regular partner</t>
  </si>
  <si>
    <t>Tounkara (2014)</t>
  </si>
  <si>
    <t>Violence, condom breakage and HIV infection among female sex workers in Benin, West Africa</t>
  </si>
  <si>
    <t>Tounkara</t>
  </si>
  <si>
    <t>981</t>
  </si>
  <si>
    <t>Benin</t>
  </si>
  <si>
    <t>200</t>
  </si>
  <si>
    <t>0.20399999999999999</t>
  </si>
  <si>
    <t>Forced sexual touches or forced sex</t>
  </si>
  <si>
    <t>132</t>
  </si>
  <si>
    <t>0.13500000000000001</t>
  </si>
  <si>
    <t>Tested HIV Positive</t>
  </si>
  <si>
    <t>Experienceed violence, sex work typology, duration of sex work, literacy, number of clients, regular partners, neisseria gonorrhea infection, antecedent for STI, condom use</t>
  </si>
  <si>
    <t>Pushed/slapped/beaten/hurt/tortured/mutilated or attacked with a weapon</t>
  </si>
  <si>
    <t>168</t>
  </si>
  <si>
    <t>Psychological violence</t>
  </si>
  <si>
    <t>326</t>
  </si>
  <si>
    <t>0.335</t>
  </si>
  <si>
    <t>Tuot (2020)</t>
  </si>
  <si>
    <t>Risk factors of HIV infection among female entertainment workers in Cambodia: Findings of a national survey</t>
  </si>
  <si>
    <t>Tuot</t>
  </si>
  <si>
    <t>3149</t>
  </si>
  <si>
    <t>Cambodia</t>
  </si>
  <si>
    <t>Gang rape</t>
  </si>
  <si>
    <t>40</t>
  </si>
  <si>
    <t>42</t>
  </si>
  <si>
    <t>Ulibarri (2011)</t>
  </si>
  <si>
    <t>Injection Drug Use as a Mediator Between Client-perpetrated Abuse and HIV Status Among Female Sex Workers in Two Mexico-US Border Cities</t>
  </si>
  <si>
    <t>Ulibarri</t>
  </si>
  <si>
    <t>924</t>
  </si>
  <si>
    <t>Past 2 months</t>
  </si>
  <si>
    <t>55</t>
  </si>
  <si>
    <t>Client-perpetrated sexual abuse</t>
  </si>
  <si>
    <t>Sexual abuse</t>
  </si>
  <si>
    <t>88</t>
  </si>
  <si>
    <t>Injecting drug use</t>
  </si>
  <si>
    <t>Vandenhoudt (2013)</t>
  </si>
  <si>
    <t>Prevalence of HIV and Other Sexually Transmitted Infections among Female Sex Workers in Kisumu, Western Kenya, 1997 and 2008</t>
  </si>
  <si>
    <t>Vandenhoudt</t>
  </si>
  <si>
    <t>481</t>
  </si>
  <si>
    <t>Kisumu</t>
  </si>
  <si>
    <t>0.57799999999999996</t>
  </si>
  <si>
    <t>Raped as FSW</t>
  </si>
  <si>
    <t>193</t>
  </si>
  <si>
    <t>0.40100000000000002</t>
  </si>
  <si>
    <t>0.623</t>
  </si>
  <si>
    <t>0.48</t>
  </si>
  <si>
    <t>Age adjusted OR</t>
  </si>
  <si>
    <t>Vu (2017)</t>
  </si>
  <si>
    <t>High Burden of HIV, Syphilis and HSVNA2 and Factors Associated with HIV Infection Among Female Sex Workers in Tanzania: Implications for Early Treatment of HIV and Pre-exposure Prophylaxis (PrEP)</t>
  </si>
  <si>
    <t>Vu</t>
  </si>
  <si>
    <t>535</t>
  </si>
  <si>
    <t>0.253</t>
  </si>
  <si>
    <t>Physically abused</t>
  </si>
  <si>
    <t>656</t>
  </si>
  <si>
    <t>0.34300000000000003</t>
  </si>
  <si>
    <t>Wand (2015)</t>
  </si>
  <si>
    <t>Prevalence and Correlates of HIV Infection Among Sex Workers in Papua New Guinea: First Results from the Papua New Guinea and Australia Sexual Health Improvement Project (PASHIP)</t>
  </si>
  <si>
    <t>Wand</t>
  </si>
  <si>
    <t>Eastern Highlands</t>
  </si>
  <si>
    <t>Being raped</t>
  </si>
  <si>
    <t xml:space="preserve">Age, education, age at sexual debut, Cohabitation status, total client volume, alcohol use, anal/oral sex, copndom use, HIV knowledge, STI diagnosis ever and current, Syphillis diagnosis, </t>
  </si>
  <si>
    <t>Wang (2021)</t>
  </si>
  <si>
    <t>Correlates of newly diagnosed HIV infection among cisgender women sex workers and transgender women sex workers in Greater Kuala Lumpur, Malaysia</t>
  </si>
  <si>
    <t>Wang</t>
  </si>
  <si>
    <t>299</t>
  </si>
  <si>
    <t>Malaysia</t>
  </si>
  <si>
    <t>Greater Kuala Lumpur</t>
  </si>
  <si>
    <t>17</t>
  </si>
  <si>
    <t>Childhood sexual assault</t>
  </si>
  <si>
    <t>Childhood sexual assault (TGWSW)</t>
  </si>
  <si>
    <t>0.27400000000000002</t>
  </si>
  <si>
    <t>Newly diagnosed HIV infection</t>
  </si>
  <si>
    <t>0.84</t>
  </si>
  <si>
    <t>Adulthood physical assault</t>
  </si>
  <si>
    <t>Adulthood physical assault (CWSW)</t>
  </si>
  <si>
    <t>99</t>
  </si>
  <si>
    <t>0.35099999999999998</t>
  </si>
  <si>
    <t>Childhood physical assault</t>
  </si>
  <si>
    <t>Childhood physical assault (CWSW)</t>
  </si>
  <si>
    <t>101</t>
  </si>
  <si>
    <t>0.35699999999999998</t>
  </si>
  <si>
    <t>Physical assault because of sex work</t>
  </si>
  <si>
    <t>Physical assault because of sex work (CWSW)</t>
  </si>
  <si>
    <t>0.17</t>
  </si>
  <si>
    <t>Physical assault because of sex work (TGWSW)</t>
  </si>
  <si>
    <t>0.19900000000000001</t>
  </si>
  <si>
    <t>Adulthood sexual assault</t>
  </si>
  <si>
    <t>Adulthood sexual assault (TGWSW)</t>
  </si>
  <si>
    <t>0.23799999999999999</t>
  </si>
  <si>
    <t>0.12</t>
  </si>
  <si>
    <t>Adulthood physical assault (TGWSW)</t>
  </si>
  <si>
    <t>61</t>
  </si>
  <si>
    <t>Childhood physical assault (TGWSW)</t>
  </si>
  <si>
    <t>0.39800000000000002</t>
  </si>
  <si>
    <t>0.47799999999999998</t>
  </si>
  <si>
    <t>0.93</t>
  </si>
  <si>
    <t>West (2022)</t>
  </si>
  <si>
    <t>Typologies and Correlates of Police Violence Against Female Sex Workers Who Inject Drugs at the Mexico-United States Border: Limits of De Jure Decriminalization in Advancing Health and Human Rights</t>
  </si>
  <si>
    <t>West</t>
  </si>
  <si>
    <t>584</t>
  </si>
  <si>
    <t>Material violence and sexual violence</t>
  </si>
  <si>
    <t>Ever HIV tested</t>
  </si>
  <si>
    <t>Material violence (e.g., fines and bribes without arrest or formal charges, taking money or other possessions like condoms, syringes or drugs), threats and intimidation, verbal and emotional harassment, and lawful and unlawful arrest or detainment</t>
  </si>
  <si>
    <t>Material violence, verbal and emotional harassment</t>
  </si>
  <si>
    <t>Wilson (2016a)</t>
  </si>
  <si>
    <t>A prospective study of intimate partner violence as a risk factor for detectable plasma viral load in HIV-positive women engaged in transactional sex in Mombasa, Kenya</t>
  </si>
  <si>
    <t>Wilson</t>
  </si>
  <si>
    <t>195</t>
  </si>
  <si>
    <t>45</t>
  </si>
  <si>
    <t>0.23076923076923078</t>
  </si>
  <si>
    <t>Self-rated adherence &gt;80% (no vs. yes)</t>
  </si>
  <si>
    <t>Self-rated adherence &gt;80%</t>
  </si>
  <si>
    <t>Never &gt;48 hrs late for ART refill in the past month (yes vs. no)</t>
  </si>
  <si>
    <t>Never &gt;48 hrs late for ART refill in the past month</t>
  </si>
  <si>
    <t>&lt;180 copies/mL</t>
  </si>
  <si>
    <t>Wilson (2016b)</t>
  </si>
  <si>
    <t>Prevalence and correlates of intimate partner violence in HIV-positive women engaged in transactional sex in Mombasa, Kenya</t>
  </si>
  <si>
    <t>357</t>
  </si>
  <si>
    <t>0.14565826330532214</t>
  </si>
  <si>
    <t>Current ART (yes vs. no)</t>
  </si>
  <si>
    <t>0.70599999999999996</t>
  </si>
  <si>
    <t>Wirth (2013)</t>
  </si>
  <si>
    <t>How Does Sex Trafficking Increase the Risk of HIV Infection? An Observational Study From Southern India</t>
  </si>
  <si>
    <t>Wirth</t>
  </si>
  <si>
    <t>1814</t>
  </si>
  <si>
    <t>Karnataka</t>
  </si>
  <si>
    <t>Forced prostitution</t>
  </si>
  <si>
    <t>Xie (2023)</t>
  </si>
  <si>
    <t>Client-perpetrated Violence Experience Among Female Sex Worker in Guangdong, South China: Results from a Cross-sectional Study</t>
  </si>
  <si>
    <t>Xie</t>
  </si>
  <si>
    <t>480</t>
  </si>
  <si>
    <t>China</t>
  </si>
  <si>
    <t>Guangdong Province</t>
  </si>
  <si>
    <t>Ever experienced client‑perpetrated violence</t>
  </si>
  <si>
    <t>0.13541666666666666</t>
  </si>
  <si>
    <t>HIV test past 24 months</t>
  </si>
  <si>
    <t>24 months</t>
  </si>
  <si>
    <t>Zalla (2019)</t>
  </si>
  <si>
    <t>The burden of HIV among female sex workers, men who have sex with men and transgender women in Haiti: results from the 2016 Priorities for Local AIDS Control Efforts (PLACE) study</t>
  </si>
  <si>
    <t>Zalla</t>
  </si>
  <si>
    <t>990</t>
  </si>
  <si>
    <t>Haiti</t>
  </si>
  <si>
    <t>75</t>
  </si>
  <si>
    <t>0.077</t>
  </si>
  <si>
    <t>Victim of intimate partner violence</t>
  </si>
  <si>
    <t>305</t>
  </si>
  <si>
    <t>0.315463917525773</t>
  </si>
  <si>
    <t>SD Bioline Syphilis 3.0 and Alere DetermineTM HIV-1/2</t>
  </si>
  <si>
    <t>Forced to have sex against will or without a condom</t>
  </si>
  <si>
    <t>384</t>
  </si>
  <si>
    <t>0.3958762886597938</t>
  </si>
  <si>
    <t>Zhang (2012)</t>
  </si>
  <si>
    <t>Partner violence and HIV risk among female sex workers in China</t>
  </si>
  <si>
    <t>Zhang</t>
  </si>
  <si>
    <t>743</t>
  </si>
  <si>
    <t>Guangxi Zhuang Autonomous Region</t>
  </si>
  <si>
    <t>Had sexual intercourse when you did not want; put something into your vagina</t>
  </si>
  <si>
    <t>Unwanted sexual intercourse</t>
  </si>
  <si>
    <t>0.144076840981857</t>
  </si>
  <si>
    <t>120</t>
  </si>
  <si>
    <t>0.16238159675236807</t>
  </si>
  <si>
    <t>Slapped you or threw something at you that could hurt you; pushed you or shoved you or pulled your hair, kicked you</t>
  </si>
  <si>
    <t>0.17142857142857143</t>
  </si>
  <si>
    <t>0.54200000000000004</t>
  </si>
  <si>
    <t>0.20136054421768707</t>
  </si>
  <si>
    <t>0.23300000000000001</t>
  </si>
  <si>
    <t>Belittled or humiliated you in front of others; threatened to hurt you or someone you care about</t>
  </si>
  <si>
    <t>Belittled, humiliated or threatened</t>
  </si>
  <si>
    <t>372</t>
  </si>
  <si>
    <t>0.39701173959445035</t>
  </si>
  <si>
    <t>0.38200000000000001</t>
  </si>
  <si>
    <t>Any type of violence</t>
  </si>
  <si>
    <t>422</t>
  </si>
  <si>
    <t>0.45037353255069368</t>
  </si>
  <si>
    <t>0.70499999999999996</t>
  </si>
  <si>
    <t>Inconsistent condom use, inconsistent condom use in the last three sex acts, and intention of inconsistent condom use, history of STI, HIV testing, and drug use</t>
  </si>
  <si>
    <t>411</t>
  </si>
  <si>
    <t>0.55540540540540539</t>
  </si>
  <si>
    <t>430</t>
  </si>
  <si>
    <t>0.57873485868102292</t>
  </si>
  <si>
    <t>Berger (2018)</t>
  </si>
  <si>
    <t>HIV %</t>
  </si>
  <si>
    <t>Unexposed</t>
  </si>
  <si>
    <t>Exposed</t>
  </si>
  <si>
    <t>Total</t>
  </si>
  <si>
    <t>IPV</t>
  </si>
  <si>
    <t>No IPV</t>
  </si>
  <si>
    <t>HIV</t>
  </si>
  <si>
    <t>No HIV</t>
  </si>
  <si>
    <t>Low Victimization</t>
  </si>
  <si>
    <t>Extortion &amp;Discrimination</t>
  </si>
  <si>
    <t>Poly-Victimization</t>
  </si>
  <si>
    <t>Tounkara 2014</t>
  </si>
  <si>
    <t>No physical violence</t>
  </si>
  <si>
    <t>No Sexual violence</t>
  </si>
  <si>
    <t>No psychological violence</t>
  </si>
  <si>
    <t>LB</t>
  </si>
  <si>
    <t>UB</t>
  </si>
  <si>
    <t>P</t>
  </si>
  <si>
    <t>Tuot 2020</t>
  </si>
  <si>
    <t>No forced sex</t>
  </si>
  <si>
    <t>No gang rape</t>
  </si>
  <si>
    <t>HIV-</t>
  </si>
  <si>
    <t>HIV+</t>
  </si>
  <si>
    <t>% HIV</t>
  </si>
  <si>
    <t>n</t>
  </si>
  <si>
    <t>%</t>
  </si>
  <si>
    <t>&lt;6 years education</t>
  </si>
  <si>
    <t>7-9 years</t>
  </si>
  <si>
    <t>10+ years</t>
  </si>
  <si>
    <t>Ulibarri 2011</t>
  </si>
  <si>
    <t>Convert p-value to 95% CI</t>
  </si>
  <si>
    <t>z</t>
  </si>
  <si>
    <t>Est</t>
  </si>
  <si>
    <t>SE</t>
  </si>
  <si>
    <t>1.96*SE</t>
  </si>
  <si>
    <t>Low log 95%CI</t>
  </si>
  <si>
    <t>High log 95% CI</t>
  </si>
  <si>
    <t>Low 95% CI</t>
  </si>
  <si>
    <t>High 95% CI</t>
  </si>
  <si>
    <t>Formula:</t>
  </si>
  <si>
    <t>https://www.bmj.com/content/343/bmj.d2090</t>
  </si>
  <si>
    <t>Yam 2020</t>
  </si>
  <si>
    <t>Reeves</t>
  </si>
  <si>
    <t>Violence last 12 months</t>
  </si>
  <si>
    <t>Female homicide rate</t>
  </si>
  <si>
    <t>Higher disclosed violence</t>
  </si>
  <si>
    <t>Boyce 2020</t>
  </si>
  <si>
    <t>&lt;16</t>
  </si>
  <si>
    <t>16-17</t>
  </si>
  <si>
    <t>18+</t>
  </si>
  <si>
    <t>Mizinduko 2020</t>
  </si>
  <si>
    <t xml:space="preserve">HIV </t>
  </si>
  <si>
    <t>Moazzami 2020</t>
  </si>
  <si>
    <t>Enacted 5-9</t>
  </si>
  <si>
    <t>Enacted 0</t>
  </si>
  <si>
    <t>Enacted 0-4</t>
  </si>
  <si>
    <t>Perceived 3-5</t>
  </si>
  <si>
    <t>Perceived 0</t>
  </si>
  <si>
    <t>Perceived 0-2</t>
  </si>
  <si>
    <t>Anticipated 2-4</t>
  </si>
  <si>
    <t>Anticipated 0</t>
  </si>
  <si>
    <t>Anticipated 0-1</t>
  </si>
  <si>
    <t>Davey 2020</t>
  </si>
  <si>
    <t>SW stigma</t>
  </si>
  <si>
    <t>No SW stigma</t>
  </si>
  <si>
    <t>No violence</t>
  </si>
  <si>
    <t>ART</t>
  </si>
  <si>
    <t>No ART</t>
  </si>
  <si>
    <t>VS</t>
  </si>
  <si>
    <t>No VS</t>
  </si>
  <si>
    <t>Wilson 2016</t>
  </si>
  <si>
    <t>Wirth 2013</t>
  </si>
  <si>
    <t>No FP</t>
  </si>
  <si>
    <t>Sharma 2017</t>
  </si>
  <si>
    <t>Alaei 2021</t>
  </si>
  <si>
    <t>Always violence</t>
  </si>
  <si>
    <t>Never violence</t>
  </si>
  <si>
    <t>Often violence</t>
  </si>
  <si>
    <t>Sometimes violence</t>
  </si>
  <si>
    <t>Ortbland 2017</t>
  </si>
  <si>
    <t>No physical IPV</t>
  </si>
  <si>
    <t>Sexual IPV</t>
  </si>
  <si>
    <t>No sexual IPV</t>
  </si>
  <si>
    <t>Any IPV</t>
  </si>
  <si>
    <t>Shokoohi 2016</t>
  </si>
  <si>
    <t>Stigma</t>
  </si>
  <si>
    <t>No stigma</t>
  </si>
  <si>
    <t>Shokoohi 2017</t>
  </si>
  <si>
    <t>No SV</t>
  </si>
  <si>
    <t>Tested</t>
  </si>
  <si>
    <t>No test</t>
  </si>
  <si>
    <t>Shrestha 2017</t>
  </si>
  <si>
    <t>No PV</t>
  </si>
  <si>
    <t>Witte 2022</t>
  </si>
  <si>
    <t>High HIV stigma</t>
  </si>
  <si>
    <t>Low HIV stigma</t>
  </si>
  <si>
    <t>High SW stigma</t>
  </si>
  <si>
    <t>Low SW stigma</t>
  </si>
  <si>
    <t>Xie 2023</t>
  </si>
  <si>
    <t>CPV</t>
  </si>
  <si>
    <t>No CPV</t>
  </si>
  <si>
    <t>SV only</t>
  </si>
  <si>
    <t>PV only</t>
  </si>
  <si>
    <t>Not tested</t>
  </si>
  <si>
    <t>SV + PV</t>
  </si>
  <si>
    <t>PV + SV</t>
  </si>
  <si>
    <t>SV + PsyV</t>
  </si>
  <si>
    <t>PV + PsyV</t>
  </si>
  <si>
    <t>All violence</t>
  </si>
  <si>
    <t>Yi 2018</t>
  </si>
  <si>
    <t>Not know</t>
  </si>
  <si>
    <t>Know</t>
  </si>
  <si>
    <t>Physical violence exposure</t>
  </si>
  <si>
    <t>Sexual violence exposure</t>
  </si>
  <si>
    <t>Psychological violence exposure</t>
  </si>
  <si>
    <t>PV and/or SV</t>
  </si>
  <si>
    <t>Only PV</t>
  </si>
  <si>
    <t>Only SV</t>
  </si>
  <si>
    <t>Only PsyV</t>
  </si>
  <si>
    <t>PsyV + PV</t>
  </si>
  <si>
    <t>PsyV + SV</t>
  </si>
  <si>
    <t>Zhang 2011</t>
  </si>
  <si>
    <t>Stable partner</t>
  </si>
  <si>
    <t>Unadjusted estimates</t>
  </si>
  <si>
    <t>Emotional</t>
  </si>
  <si>
    <t>No emotional</t>
  </si>
  <si>
    <t>Sexual</t>
  </si>
  <si>
    <t>No sexual</t>
  </si>
  <si>
    <t>Physical</t>
  </si>
  <si>
    <t>No physical</t>
  </si>
  <si>
    <t>None</t>
  </si>
  <si>
    <t>Adjusted estimates</t>
  </si>
  <si>
    <t>Never HIV tested</t>
  </si>
  <si>
    <t>HIV tested</t>
  </si>
  <si>
    <t>Hladik 2017</t>
  </si>
  <si>
    <t>Beatings past 30 days</t>
  </si>
  <si>
    <t>N</t>
  </si>
  <si>
    <t>Yes</t>
  </si>
  <si>
    <t>No</t>
  </si>
  <si>
    <t>Raped in last 30 days, number</t>
  </si>
  <si>
    <t>Raped in last 30 days by customer</t>
  </si>
  <si>
    <t>Violence selling sex</t>
  </si>
  <si>
    <t>ID</t>
  </si>
  <si>
    <t>NID</t>
  </si>
  <si>
    <t>N (Total)</t>
  </si>
  <si>
    <t>N (HIV)</t>
  </si>
  <si>
    <t xml:space="preserve">&lt;24 </t>
  </si>
  <si>
    <t>25-34</t>
  </si>
  <si>
    <t>35+</t>
  </si>
  <si>
    <t>Bowring 2018</t>
  </si>
  <si>
    <t>PV</t>
  </si>
  <si>
    <t>S/PV</t>
  </si>
  <si>
    <t>No S/PV</t>
  </si>
  <si>
    <t>SV</t>
  </si>
  <si>
    <t>Client PV</t>
  </si>
  <si>
    <t>No client PV</t>
  </si>
  <si>
    <t>Pimp threats</t>
  </si>
  <si>
    <t>No pimp threats</t>
  </si>
  <si>
    <t>Subbotnik</t>
  </si>
  <si>
    <t>No subbotnik</t>
  </si>
  <si>
    <t>Decker 2014</t>
  </si>
  <si>
    <t>Vaginal SV</t>
  </si>
  <si>
    <t>Anal SV</t>
  </si>
  <si>
    <t>Pimp PV</t>
  </si>
  <si>
    <t>No pimp PV</t>
  </si>
  <si>
    <t>Decker 2016</t>
  </si>
  <si>
    <t>GBV</t>
  </si>
  <si>
    <t>No GBV</t>
  </si>
  <si>
    <t>Wand 2015</t>
  </si>
  <si>
    <t>Sample</t>
  </si>
  <si>
    <t>Num HIV</t>
  </si>
  <si>
    <t>West 2022</t>
  </si>
  <si>
    <t>Label</t>
  </si>
  <si>
    <t>Low violence</t>
  </si>
  <si>
    <t>MV</t>
  </si>
  <si>
    <t>Class 1</t>
  </si>
  <si>
    <t>HIV test</t>
  </si>
  <si>
    <t>Class 2</t>
  </si>
  <si>
    <t>Material violence</t>
  </si>
  <si>
    <t>Class 3</t>
  </si>
  <si>
    <t>Material/sexual</t>
  </si>
  <si>
    <t>MV + SV</t>
  </si>
  <si>
    <t>No HIV test</t>
  </si>
  <si>
    <t>Abdella 2022</t>
  </si>
  <si>
    <t>Experience of violence, stigma or discrimination</t>
  </si>
  <si>
    <t>Respondent-driven, cluster and Time-space sampling</t>
  </si>
  <si>
    <t>IBBA round, age, literacy, income source, marital status, age at first sex, duration in sex work, condom use, sex work typology, partner status, STI status, baseline HIV prevalence</t>
  </si>
  <si>
    <t>HIV prevalent infection based on test results</t>
  </si>
  <si>
    <t>No sexual violence</t>
  </si>
  <si>
    <t>N (No HIV)</t>
  </si>
  <si>
    <t>Overall</t>
  </si>
  <si>
    <t>Domestic and workplace/community violence</t>
  </si>
  <si>
    <t>Berger 2018</t>
  </si>
  <si>
    <t>Experienced physical or sexual violence and moderate to severe drug use risk</t>
  </si>
  <si>
    <t>Bowring (2019)</t>
  </si>
  <si>
    <t>Beaten or raped in past year</t>
  </si>
  <si>
    <t>Beattie 2015</t>
  </si>
  <si>
    <t>HIV test ever</t>
  </si>
  <si>
    <t>Recent HIV infection</t>
  </si>
  <si>
    <t>Recent HIV</t>
  </si>
  <si>
    <t>Sociodemographic factors</t>
  </si>
  <si>
    <t>More clients</t>
  </si>
  <si>
    <t>Not more clients</t>
  </si>
  <si>
    <t>Pimp SV</t>
  </si>
  <si>
    <t>No pimp SV</t>
  </si>
  <si>
    <t>Analytic sample</t>
  </si>
  <si>
    <t>Pimp physical violence</t>
  </si>
  <si>
    <t>Pimp sexual violence</t>
  </si>
  <si>
    <t>Regularly presented with more clients than agreed to</t>
  </si>
  <si>
    <t>Presented with more clients than agreed</t>
  </si>
  <si>
    <t>Goldenberg 2013</t>
  </si>
  <si>
    <t>Educational attainment: none or incomplete primary school, age at first sex work, and incarceration</t>
  </si>
  <si>
    <t>No ART use</t>
  </si>
  <si>
    <t>Goldenberg 2016</t>
  </si>
  <si>
    <t>Goldenberg 2019</t>
  </si>
  <si>
    <t>Extreme violence</t>
  </si>
  <si>
    <t>Guure 2023</t>
  </si>
  <si>
    <t>Work-related mobility, general mobility, age, income, number of clients, sex work-related stigma, alcohol use, community (Mafinga vs Ilula)</t>
  </si>
  <si>
    <t>Place of solicitation, age, region, number of clients, alcohol use, injection drug use, income</t>
  </si>
  <si>
    <t>No violent sex</t>
  </si>
  <si>
    <t>Age, number of partners, sex work as main income, years selling sex, condom use, number of sexual intercourses, alcohol use, STIs, type of sexual intercourse</t>
  </si>
  <si>
    <t>Kassanjee 2022</t>
  </si>
  <si>
    <t>Client SV</t>
  </si>
  <si>
    <t>No client SV</t>
  </si>
  <si>
    <t>IR</t>
  </si>
  <si>
    <t>Log(Client SV)</t>
  </si>
  <si>
    <t>Log(No client SV)</t>
  </si>
  <si>
    <t>Log(RR)</t>
  </si>
  <si>
    <t>Port Moresby</t>
  </si>
  <si>
    <t>Lae</t>
  </si>
  <si>
    <t>Perfect ART adherence in past 4 days (yes vs. no)</t>
  </si>
  <si>
    <t>Odds ratio calculations</t>
  </si>
  <si>
    <t>https://www.medcalc.org/en/calc/odds_ratio.php</t>
  </si>
  <si>
    <t>Mulholland 2022</t>
  </si>
  <si>
    <t>Lyons 2017</t>
  </si>
  <si>
    <t>???????????</t>
  </si>
  <si>
    <t>Maclin 2023</t>
  </si>
  <si>
    <t>TGSW</t>
  </si>
  <si>
    <t>Perfect ART adherence</t>
  </si>
  <si>
    <t>Not perfect ART</t>
  </si>
  <si>
    <t>Police harrasment</t>
  </si>
  <si>
    <t>SW-related violence</t>
  </si>
  <si>
    <t>Crude OR</t>
  </si>
  <si>
    <t>CurrentART</t>
  </si>
  <si>
    <t>Stopped ART</t>
  </si>
  <si>
    <t>Continued ART</t>
  </si>
  <si>
    <t>SW-related violence and harassment</t>
  </si>
  <si>
    <t>SW-related police harassment</t>
  </si>
  <si>
    <t>Violence exposure among transgender sex workers (Low Reported Violence Exposure vs. Sex Work-related Police Harassment)</t>
  </si>
  <si>
    <t>Violence exposure among transgender sex workers (Low Reported Violence Exposure vs. SW-related violence and harassment)</t>
  </si>
  <si>
    <t>Mukherjee 2022</t>
  </si>
  <si>
    <t>Nabayinda 2023</t>
  </si>
  <si>
    <t>Pando 2013</t>
  </si>
  <si>
    <t>Violent experiences</t>
  </si>
  <si>
    <t>Ramesh 2012</t>
  </si>
  <si>
    <t>No rape</t>
  </si>
  <si>
    <t>Childhood sexual assault (CWSW)</t>
  </si>
  <si>
    <t>Associations between violence, HIV prevention and HIV infection among young women who self-identify as sex workers in Mombasa, Kenya</t>
  </si>
  <si>
    <t>PhD dissertation</t>
  </si>
  <si>
    <t xml:space="preserve">Age, regular income </t>
  </si>
  <si>
    <t xml:space="preserve">Age, ever married, duration in sex work </t>
  </si>
  <si>
    <t>Mountain 2017</t>
  </si>
  <si>
    <t>N total</t>
  </si>
  <si>
    <t>Note: not sure this calc works, % exposed to violence is among whole sample not just among tested for HIV</t>
  </si>
  <si>
    <t>Being physically hurt by a sex partner</t>
  </si>
  <si>
    <t>Being forced to have sex when not willing</t>
  </si>
  <si>
    <t>Physical hurt by sex partner</t>
  </si>
  <si>
    <t>Forced sex, physical violence and police assault or arrest</t>
  </si>
  <si>
    <t>Age, age at entry into sex work</t>
  </si>
  <si>
    <t>IPV and VS</t>
  </si>
  <si>
    <t>IPV and adherent</t>
  </si>
  <si>
    <t>IPV and no late refill</t>
  </si>
  <si>
    <t>Mountain (2018)</t>
  </si>
  <si>
    <t>overall_sample_size</t>
  </si>
  <si>
    <t>analytical_sample_size</t>
  </si>
  <si>
    <t>rayyan</t>
  </si>
  <si>
    <t>representative</t>
  </si>
  <si>
    <t>design2</t>
  </si>
  <si>
    <t>adjust</t>
  </si>
  <si>
    <t>Snowball and peer-led</t>
  </si>
  <si>
    <t>study_design</t>
  </si>
  <si>
    <t>Respondent-driven, cluster and time-space sampling</t>
  </si>
  <si>
    <t>Respondent-driven and time-space sampling</t>
  </si>
  <si>
    <t>Random sampling</t>
  </si>
  <si>
    <t>Not random sampling</t>
  </si>
  <si>
    <t>Longitudinal</t>
  </si>
  <si>
    <t>pre2017</t>
  </si>
  <si>
    <t>whoregion</t>
  </si>
  <si>
    <t>Johnston (2025)</t>
  </si>
  <si>
    <t>HIV and Syphilis Prevalence, Trends and Factors Affecting HIV Testing Among Female Sex Workers in Morocco</t>
  </si>
  <si>
    <t>Johnston</t>
  </si>
  <si>
    <t>Morocco</t>
  </si>
  <si>
    <t>Johnston 2025</t>
  </si>
  <si>
    <t>City</t>
  </si>
  <si>
    <t>Agadir</t>
  </si>
  <si>
    <t>Fes</t>
  </si>
  <si>
    <t>Rabat</t>
  </si>
  <si>
    <t>Tangier</t>
  </si>
  <si>
    <t>Total cases</t>
  </si>
  <si>
    <t>Total denominator</t>
  </si>
  <si>
    <t>Being forced to have sex during first sexual intercourse</t>
  </si>
  <si>
    <t>Forced first sex</t>
  </si>
  <si>
    <t>OR: 0.3285</t>
  </si>
  <si>
    <t>P: 0.0263</t>
  </si>
  <si>
    <t>Denom</t>
  </si>
  <si>
    <t>Total sample</t>
  </si>
  <si>
    <t>City, year, age, marital status, education, number of partners, condom use, injection drug use, arrest, HIV knowledge</t>
  </si>
  <si>
    <t>OR: 0.3584</t>
  </si>
  <si>
    <t>P: 0.0219</t>
  </si>
  <si>
    <t>Unveiling triple vulnerability among Mozambican female sex workers—Stigma, physical violence and sexual violence</t>
  </si>
  <si>
    <t>Luiz (2025)</t>
  </si>
  <si>
    <t>Luiz</t>
  </si>
  <si>
    <t>Mozambique</t>
  </si>
  <si>
    <t>Luiz 2025</t>
  </si>
  <si>
    <t>Physical Violence</t>
  </si>
  <si>
    <t>Experiencing physical violence related to their profession within the six months preceding the survey</t>
  </si>
  <si>
    <t>Physical violence related to their profession</t>
  </si>
  <si>
    <t>Sexual Violence</t>
  </si>
  <si>
    <t>Experiencing sexual violence related to their profession within the six months preceding the survey</t>
  </si>
  <si>
    <t>Sexual violence related to their profession</t>
  </si>
  <si>
    <t>Sex-work stigma</t>
  </si>
  <si>
    <t>Experiencing stigma related to their occupation</t>
  </si>
  <si>
    <t>Chirombo (2025)</t>
  </si>
  <si>
    <t>An Exploratory Study Using Respondent-Driven Sampling to Map HIV Risk Across Sex Work Locations in Blantyre, Malawi</t>
  </si>
  <si>
    <t>Chiromobo</t>
  </si>
  <si>
    <t>Malawi</t>
  </si>
  <si>
    <t>Blantyre</t>
  </si>
  <si>
    <t xml:space="preserve">Verbal, sexual, and physical abuse </t>
  </si>
  <si>
    <t>Client or police</t>
  </si>
  <si>
    <t>Chirombo 2025</t>
  </si>
  <si>
    <t>sw_time_frame_bin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</si>
</sst>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
    <numFmt numFmtId="167" formatCode="0.0000"/>
    <numFmt numFmtId="168" formatCode="0.00000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sz val="11"/>
      <name val="Aptos Narrow"/>
      <family val="2"/>
      <scheme val="minor"/>
    </font>
  </fonts>
  <fills count="4">
    <fill>
      <patternFill patternType="none"/>
    </fill>
    <fill>
      <patternFill patternType="gray125"/>
    </fill>
    <fill>
      <patternFill patternType="solid">
        <fgColor rgb="FFFF0000"/>
        <bgColor indexed="64"/>
      </patternFill>
    </fill>
    <fill>
      <patternFill patternType="solid">
        <fgColor rgb="FFFFFF0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20">
    <xf numFmtId="0" fontId="0" fillId="0" borderId="0" xfId="0"/>
    <xf numFmtId="0" fontId="0" fillId="0" borderId="0" xfId="0" applyAlignment="1">
      <alignment horizontal="left"/>
    </xf>
    <xf numFmtId="0" fontId="0" fillId="2" borderId="0" xfId="0" applyFill="1"/>
    <xf numFmtId="0" fontId="2" fillId="0" borderId="0" xfId="0" applyFont="1" applyAlignment="1">
      <alignment horizontal="center"/>
    </xf>
    <xf numFmtId="0" fontId="2" fillId="0" borderId="0" xfId="0" applyFont="1" applyAlignment="1">
      <alignment horizontal="left"/>
    </xf>
    <xf numFmtId="0" fontId="0" fillId="3" borderId="0" xfId="0" applyFill="1" applyAlignment="1">
      <alignment horizontal="left"/>
    </xf>
    <xf numFmtId="1" fontId="0" fillId="0" borderId="0" xfId="0" applyNumberFormat="1" applyAlignment="1">
      <alignment horizontal="left"/>
    </xf>
    <xf numFmtId="164" fontId="0" fillId="0" borderId="0" xfId="1" applyNumberFormat="1" applyFont="1" applyAlignment="1">
      <alignment horizontal="left"/>
    </xf>
    <xf numFmtId="0" fontId="3" fillId="0" borderId="0" xfId="2" applyAlignment="1">
      <alignment horizontal="left"/>
    </xf>
    <xf numFmtId="16" fontId="0" fillId="0" borderId="0" xfId="0" applyNumberFormat="1" applyAlignment="1">
      <alignment horizontal="left"/>
    </xf>
    <xf numFmtId="2" fontId="0" fillId="0" borderId="0" xfId="0" applyNumberFormat="1" applyAlignment="1">
      <alignment horizontal="left"/>
    </xf>
    <xf numFmtId="165" fontId="0" fillId="0" borderId="0" xfId="0" applyNumberFormat="1" applyAlignment="1">
      <alignment horizontal="left"/>
    </xf>
    <xf numFmtId="0" fontId="2" fillId="0" borderId="0" xfId="0" applyFont="1"/>
    <xf numFmtId="9" fontId="0" fillId="0" borderId="0" xfId="0" applyNumberFormat="1" applyAlignment="1">
      <alignment horizontal="left"/>
    </xf>
    <xf numFmtId="0" fontId="0" fillId="3" borderId="0" xfId="0" applyFill="1"/>
    <xf numFmtId="165" fontId="0" fillId="0" borderId="0" xfId="1" applyNumberFormat="1" applyFont="1" applyAlignment="1">
      <alignment horizontal="left"/>
    </xf>
    <xf numFmtId="166" fontId="0" fillId="0" borderId="0" xfId="0" applyNumberFormat="1" applyAlignment="1">
      <alignment horizontal="left"/>
    </xf>
    <xf numFmtId="168" fontId="0" fillId="0" borderId="0" xfId="1" applyNumberFormat="1" applyFont="1" applyAlignment="1">
      <alignment horizontal="left"/>
    </xf>
    <xf numFmtId="167" fontId="0" fillId="0" borderId="0" xfId="0" applyNumberFormat="1" applyAlignment="1">
      <alignment horizontal="left"/>
    </xf>
    <xf numFmtId="0" fontId="5" fillId="0" borderId="0" xfId="0" applyFont="1" applyAlignment="1">
      <alignment horizontal="left"/>
    </xf>
  </cellXfs>
  <cellStyles count="3">
    <cellStyle name="Hyperlink" xfId="2" builtinId="8"/>
    <cellStyle name="Normal" xfId="0" builtinId="0"/>
    <cellStyle name="Percent" xfId="1" builtinId="5"/>
  </cellStyles>
  <dxfs count="139">
    <dxf>
      <fill>
        <patternFill patternType="none">
          <fgColor indexed="64"/>
          <bgColor auto="1"/>
        </patternFill>
      </fil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rgb="FF000000"/>
          <bgColor auto="1"/>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numFmt numFmtId="0" formatCode="General"/>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dam Trickey" id="{DA9619AC-8416-4265-8990-FD11931F31BB}" userId="S::at13225@bristol.ac.uk::e98c7eca-a04c-425f-bcda-f88beb437db2" providerId="AD"/>
  <person displayName="Jack Stone" id="{9593CD56-7F84-4728-9BC0-6D79A344ADEB}" userId="S::js13759@bristol.ac.uk::45511eea-57df-4c9d-8937-faad0263128b" providerId="AD"/>
  <person displayName="Joshua Dawe" id="{BAA1B8CF-6869-42EE-8BDA-0BD94C78970E}" userId="S::vl22683@bristol.ac.uk::abec97b1-4e32-415e-8f7d-a38d31b1ede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F64AA3-9CFA-4117-8F6C-A92D23DCFF59}" name="Table1" displayName="Table1" ref="A1:BF228" totalsRowShown="0" headerRowDxfId="138" dataDxfId="137">
  <autoFilter ref="A1:BF228" xr:uid="{70179EDD-82C2-49C7-80B9-689E0A41FA4C}"/>
  <sortState xmlns:xlrd2="http://schemas.microsoft.com/office/spreadsheetml/2017/richdata2" ref="A2:BF228">
    <sortCondition ref="V1:V228"/>
  </sortState>
  <tableColumns count="58">
    <tableColumn id="1" xr3:uid="{658C57FA-92E2-447A-B1B5-40CBA81D2DF3}" name="study" dataDxfId="136"/>
    <tableColumn id="2" xr3:uid="{01457855-1EF8-4BE3-9837-E76B4970B5CC}" name="title" dataDxfId="135"/>
    <tableColumn id="3" xr3:uid="{1629756F-394F-44DC-93F6-6301017A2157}" name="author" dataDxfId="134"/>
    <tableColumn id="4" xr3:uid="{974A1D35-C268-4234-B1AC-D1E87704C65D}" name="year" dataDxfId="133"/>
    <tableColumn id="5" xr3:uid="{E1C975E9-1309-411F-A60A-3D27EDA3652D}" name="pre_2016" dataDxfId="132"/>
    <tableColumn id="86" xr3:uid="{5DE04663-C4DD-43DA-8D92-44F5C0913B08}" name="pre2017" dataDxfId="131"/>
    <tableColumn id="17" xr3:uid="{38965337-C7EC-4A95-9C2A-6D504189F0D1}" name="rayyan" dataDxfId="130"/>
    <tableColumn id="6" xr3:uid="{64DB2C20-FABA-4284-9067-01C1505D2791}" name="pub_type" dataDxfId="129"/>
    <tableColumn id="7" xr3:uid="{77780E8F-4476-40D2-8EEC-EFC95B58F749}" name="study_design" dataDxfId="128"/>
    <tableColumn id="8" xr3:uid="{687F9192-F27B-480D-9C16-B4D8E63F26BF}" name="study_setting" dataDxfId="127"/>
    <tableColumn id="16" xr3:uid="{E4EB338F-C000-4343-9DF6-FB0B19B59D3F}" name="overall_sample_size" dataDxfId="126"/>
    <tableColumn id="9" xr3:uid="{DA239542-C871-4F60-93F3-40808E20EA97}" name="analytical_sample_size" dataDxfId="125"/>
    <tableColumn id="10" xr3:uid="{FEA54EB8-1299-4A79-9C5C-049E1C1986E2}" name="recruitment" dataDxfId="124"/>
    <tableColumn id="11" xr3:uid="{CB762A89-BD25-4282-85F1-6C1C86AB79B2}" name="country" dataDxfId="123"/>
    <tableColumn id="12" xr3:uid="{8A8F6888-EA0A-4BCA-BF8F-DE218F9BB257}" name="cities" dataDxfId="122"/>
    <tableColumn id="13" xr3:uid="{D33D572A-AA7A-4DF7-87FB-7C164C8FC372}" name="whoregion" dataDxfId="121"/>
    <tableColumn id="18" xr3:uid="{C8CDC967-FEB9-4C03-9504-3E3175803C6D}" name="representative" dataDxfId="120"/>
    <tableColumn id="19" xr3:uid="{FE70BEFB-D75C-42A6-8C7B-22EFF1D89FE8}" name="adjust" dataDxfId="119"/>
    <tableColumn id="15" xr3:uid="{C26B168D-E82D-4276-B98F-51464C701424}" name="design" dataDxfId="118"/>
    <tableColumn id="14" xr3:uid="{976BB9B8-5854-4385-8BA2-CB722A03FBAB}" name="rob_score_3cat" dataDxfId="117"/>
    <tableColumn id="22" xr3:uid="{1BDB9EF8-89D1-45E5-A1B8-7DB870B80617}" name="sw_time_frame" dataDxfId="116"/>
    <tableColumn id="20" xr3:uid="{A2E95678-2690-484E-9D12-A95EBFC7FD9B}" name="sw_time_frame_bin" dataDxfId="115"/>
    <tableColumn id="23" xr3:uid="{EBF03193-0D58-4EB2-BFF8-E9D8ECE29919}" name="fsw_prop" dataDxfId="114"/>
    <tableColumn id="24" xr3:uid="{96B2BCC4-3BF2-4F3F-A97F-6EE4BBC0B6EC}" name="hiv_num" dataDxfId="113"/>
    <tableColumn id="25" xr3:uid="{23C179A1-A93D-4E52-97AF-064983C6E8F8}" name="hiv_perc" dataDxfId="112"/>
    <tableColumn id="26" xr3:uid="{751B680B-11CE-4898-9C16-4B41E47D3E39}" name="exposure_type" dataDxfId="111"/>
    <tableColumn id="27" xr3:uid="{609E94CC-0217-4CC2-910B-A627DABA3257}" name="exposure_definition" dataDxfId="110"/>
    <tableColumn id="28" xr3:uid="{857D044D-425F-4250-84C7-2CEDA57F4C7D}" name="exposure_definition_short" dataDxfId="109"/>
    <tableColumn id="29" xr3:uid="{00C95CFD-0D7E-4A1D-BD44-8C83C5EA7A1E}" name="exposure_time_frame" dataDxfId="108"/>
    <tableColumn id="30" xr3:uid="{2197A12C-24F5-407F-935E-35C69DBB248F}" name="exposure_tf_bin" dataDxfId="107"/>
    <tableColumn id="31" xr3:uid="{3A59D8A9-5A8E-4DFA-9FAC-E4142E66F5D0}" name="perpetrator" dataDxfId="106"/>
    <tableColumn id="32" xr3:uid="{CDC904E2-A782-4B5F-8713-D08D76DD1EA1}" name="exposed_num" dataDxfId="105"/>
    <tableColumn id="33" xr3:uid="{5EE2154D-87AC-45E0-9B9A-1218E6B48149}" name="exposed_perc" dataDxfId="104"/>
    <tableColumn id="85" xr3:uid="{46F0A7EF-CC9F-4BCA-9387-D6AE664F975D}" name="use_exposed" dataDxfId="103"/>
    <tableColumn id="34" xr3:uid="{3C2B7382-2B65-49B8-9917-F09FD3BBA4D3}" name="outcome" dataDxfId="102"/>
    <tableColumn id="35" xr3:uid="{A5D8817B-270F-4C4A-9BE7-081DDE2289D0}" name="outcome_definition" dataDxfId="101"/>
    <tableColumn id="81" xr3:uid="{8DFEE5C3-2CEA-4B32-869E-CFCC47BA808A}" name="outcome_bin" dataDxfId="100"/>
    <tableColumn id="82" xr3:uid="{A5E87A68-2298-42A9-AD75-B1C372AE896E}" name="outcome_definition_short" dataDxfId="99"/>
    <tableColumn id="83" xr3:uid="{AF46B98F-F432-4104-8367-E01850DC36F5}" name="current" dataDxfId="98"/>
    <tableColumn id="84" xr3:uid="{B604FD79-E105-4129-ADCB-1BEAD4822FE6}" name="outcome_denominator" dataDxfId="97"/>
    <tableColumn id="36" xr3:uid="{267D7E85-B6D2-4F57-85E9-A339D7E0E786}" name="outcome_time_frame" dataDxfId="96"/>
    <tableColumn id="37" xr3:uid="{47947888-5AAC-43BD-8D66-790EAAE871FE}" name="outcome_tf_bin" dataDxfId="95"/>
    <tableColumn id="38" xr3:uid="{9A36903C-2E11-45AA-ABF0-D2D04ECDE3F2}" name="adj" dataDxfId="94"/>
    <tableColumn id="39" xr3:uid="{8A25BFBE-D7F3-4087-A6C6-7A661DB58FF2}" name="effect_best_model" dataDxfId="93"/>
    <tableColumn id="40" xr3:uid="{792A7E71-9305-4ED7-9F59-267C095A534A}" name="effect_best" dataDxfId="92"/>
    <tableColumn id="41" xr3:uid="{2DD67F51-EE12-4B29-AC57-0E4BE1990B2D}" name="effect_best_lower" dataDxfId="91"/>
    <tableColumn id="42" xr3:uid="{BE987A5E-855E-4B52-97C9-59E5FB12D881}" name="effect_best_upper" dataDxfId="90"/>
    <tableColumn id="43" xr3:uid="{091D6D28-0DC3-4005-8725-ADE93EAB8039}" name="una_effect" dataDxfId="89"/>
    <tableColumn id="44" xr3:uid="{60377EA6-29C8-4DFC-9077-9153D8C41499}" name="unadj_est" dataDxfId="88"/>
    <tableColumn id="45" xr3:uid="{3E1B8AE8-EF20-431D-8407-A120395BAD9F}" name="un_lower" dataDxfId="87"/>
    <tableColumn id="46" xr3:uid="{D007A437-FB60-4E84-87F7-A0F4263F65EE}" name="un_upper" dataDxfId="86"/>
    <tableColumn id="47" xr3:uid="{0C5D81D3-C5DB-4594-82F2-35EDF2BF9BFA}" name="un_p_val" dataDxfId="85"/>
    <tableColumn id="48" xr3:uid="{54755E1F-5A90-422E-A3EA-954C502669FB}" name="adj_effect" dataDxfId="84"/>
    <tableColumn id="49" xr3:uid="{0CAA6F5A-C3DE-45F4-8EB3-FCB2A8BD49A7}" name="adj_est" dataDxfId="83"/>
    <tableColumn id="50" xr3:uid="{7045C36F-8118-4C05-9A2F-3C77D27CCF93}" name="adj_lower" dataDxfId="82"/>
    <tableColumn id="51" xr3:uid="{4D52767F-2E64-4EA6-AB5D-8170C66917D6}" name="adj_upper" dataDxfId="81"/>
    <tableColumn id="52" xr3:uid="{073C2224-2683-477C-AF51-B3E602D3C746}" name="adj_p_val" dataDxfId="80"/>
    <tableColumn id="53" xr3:uid="{E478DD1C-FB10-458E-8165-DD4CAA4313A7}" name="adjusted_for" dataDxfId="7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514DDE-E88B-4985-B36B-CBE373A28FBD}" name="Table14" displayName="Table14" ref="A1:BE7" totalsRowShown="0" headerRowDxfId="78" dataDxfId="77">
  <autoFilter ref="A1:BE7" xr:uid="{70179EDD-82C2-49C7-80B9-689E0A41FA4C}"/>
  <tableColumns count="57">
    <tableColumn id="1" xr3:uid="{63BDA606-9089-4874-B591-0807542982B0}" name="study" dataDxfId="76"/>
    <tableColumn id="2" xr3:uid="{4AA8E6CE-2FAC-4107-B8DC-6C83DCBCB093}" name="title" dataDxfId="75"/>
    <tableColumn id="3" xr3:uid="{14CAD349-3AE5-4AAE-B62E-AB16344DCD7A}" name="author" dataDxfId="74"/>
    <tableColumn id="4" xr3:uid="{8E5BD801-3765-44D8-9626-6C5BDF351F18}" name="year" dataDxfId="73"/>
    <tableColumn id="5" xr3:uid="{81893C14-3975-4E03-80A3-DE30289BF32A}" name="pre_2016" dataDxfId="72"/>
    <tableColumn id="86" xr3:uid="{3885C3B9-A9A0-4B9E-9BFD-8F101CACF3DE}" name="pre2017" dataDxfId="71"/>
    <tableColumn id="17" xr3:uid="{322147C7-85C6-4C86-A8E1-DC3ADD324E36}" name="rayyan" dataDxfId="70"/>
    <tableColumn id="6" xr3:uid="{FFBFAFB5-D941-4514-8EA1-91C9AAF90EBD}" name="pub_type" dataDxfId="69"/>
    <tableColumn id="7" xr3:uid="{69E1E0B1-F32D-4F7A-A87A-9A5482EA93C4}" name="study_design" dataDxfId="68"/>
    <tableColumn id="8" xr3:uid="{75FFCE04-2838-42F3-B6A4-F84704B19B2A}" name="study_setting" dataDxfId="67"/>
    <tableColumn id="16" xr3:uid="{56FD4B42-21B3-4295-B6F9-3507E9D803B6}" name="overall_sample_size" dataDxfId="66"/>
    <tableColumn id="9" xr3:uid="{35FF46C8-B4AA-4BA5-BDA2-9A64E443ED8B}" name="analytical_sample_size" dataDxfId="65"/>
    <tableColumn id="10" xr3:uid="{4B153F2C-592F-4341-BE77-C7CCE7ABA01C}" name="recruitment" dataDxfId="64"/>
    <tableColumn id="11" xr3:uid="{42EBEB42-55DC-4794-B920-10571329E548}" name="country" dataDxfId="63"/>
    <tableColumn id="12" xr3:uid="{3DA789C7-1F7F-4F5A-9071-3AF173BB5D6D}" name="cities" dataDxfId="62"/>
    <tableColumn id="13" xr3:uid="{B64E54F6-23E4-48D1-9AC6-D7F2085369F2}" name="whoregion" dataDxfId="61"/>
    <tableColumn id="18" xr3:uid="{5AFCCA19-88CD-4E14-9F77-421B4C1A8F81}" name="representative" dataDxfId="60"/>
    <tableColumn id="19" xr3:uid="{72D94544-8A93-4CF3-AB54-01C46F289B2E}" name="adjust" dataDxfId="59"/>
    <tableColumn id="15" xr3:uid="{ECB5BCAC-0E8F-4309-9657-6E52DA7E4357}" name="design" dataDxfId="58"/>
    <tableColumn id="14" xr3:uid="{84C85747-43B8-49AE-BF7E-E45FF2C0EB1C}" name="rob_score_3cat" dataDxfId="57"/>
    <tableColumn id="22" xr3:uid="{A4C5FA94-6595-4DD3-BE58-DEFF4B424983}" name="sw_time_frame" dataDxfId="56"/>
    <tableColumn id="23" xr3:uid="{4996C400-7810-4139-88C2-EA81239DAE76}" name="fsw_prop" dataDxfId="55"/>
    <tableColumn id="24" xr3:uid="{F61C4FD5-BE99-46D0-949E-337D748D4C39}" name="hiv_num" dataDxfId="54"/>
    <tableColumn id="25" xr3:uid="{A8221E34-1F43-4C50-B47B-16C9C7B932AA}" name="hiv_perc" dataDxfId="53"/>
    <tableColumn id="26" xr3:uid="{EC7E25D4-FC36-40AB-BB1F-C3760A928509}" name="exposure_type" dataDxfId="52"/>
    <tableColumn id="27" xr3:uid="{5C102B93-1F59-4E15-86CD-285B299CE839}" name="exposure_definition" dataDxfId="51"/>
    <tableColumn id="28" xr3:uid="{91F32478-8EB3-4371-828B-3A60C0FF24FC}" name="exposure_definition_short" dataDxfId="50"/>
    <tableColumn id="29" xr3:uid="{148DCEC7-8CD8-4622-9F76-AED527E14106}" name="exposure_time_frame" dataDxfId="49"/>
    <tableColumn id="30" xr3:uid="{629B4CD8-CA00-4F8E-95FF-0FC82A720E8D}" name="exposure_tf_bin" dataDxfId="48"/>
    <tableColumn id="31" xr3:uid="{EDFCDBDF-FEEB-4B91-8923-C2F89D21A567}" name="perpetrator" dataDxfId="47"/>
    <tableColumn id="32" xr3:uid="{4C2A8059-83A9-41C4-A898-105614C56D7B}" name="exposed_num" dataDxfId="46"/>
    <tableColumn id="33" xr3:uid="{9FBD19E7-3910-40C0-AE9F-6A87DE9DAD9A}" name="exposed_perc" dataDxfId="45"/>
    <tableColumn id="85" xr3:uid="{E7952545-C72B-4BA5-8AAC-E47CAA11660B}" name="use_exposed" dataDxfId="44"/>
    <tableColumn id="34" xr3:uid="{8DE318B8-C001-40B3-99AF-1EAC67EE124D}" name="outcome" dataDxfId="43"/>
    <tableColumn id="35" xr3:uid="{1B673DA4-B0CE-456F-BE37-E6B68421B29D}" name="outcome_definition" dataDxfId="42"/>
    <tableColumn id="81" xr3:uid="{0EB9D9DA-9F9D-4B59-9180-0C9D8C18FFA7}" name="outcome_bin" dataDxfId="41"/>
    <tableColumn id="82" xr3:uid="{279E3393-30BA-42FE-B8EE-3C12AD82EA0C}" name="outcome_definition_short" dataDxfId="40"/>
    <tableColumn id="83" xr3:uid="{51E32F51-F88E-4FD2-B7A7-5F3105FF0C05}" name="current" dataDxfId="39"/>
    <tableColumn id="84" xr3:uid="{034BA84B-6F2A-432B-AFE3-04E26C6C5CBF}" name="outcome_denominator" dataDxfId="38"/>
    <tableColumn id="36" xr3:uid="{D7ED8F26-F483-4FB4-A5F6-410210E8E035}" name="outcome_time_frame" dataDxfId="37"/>
    <tableColumn id="37" xr3:uid="{98023959-BBB5-4F30-9B52-A26ED97CA46D}" name="outcome_tf_bin" dataDxfId="36"/>
    <tableColumn id="38" xr3:uid="{290186E4-1313-47BC-85E4-E8A272937437}" name="adj" dataDxfId="35"/>
    <tableColumn id="39" xr3:uid="{1B94AA8C-775F-4F43-8C0B-C4C5FC73BE83}" name="effect_best_model" dataDxfId="34"/>
    <tableColumn id="40" xr3:uid="{9FDFB3A9-96FB-4CCC-96B3-14E8F1E7F084}" name="effect_best" dataDxfId="33"/>
    <tableColumn id="41" xr3:uid="{24EBBDFA-5954-4CFE-AE11-4786819F4817}" name="effect_best_lower" dataDxfId="32"/>
    <tableColumn id="42" xr3:uid="{04872BBE-FF1D-48E7-81DE-F2964BB9A901}" name="effect_best_upper" dataDxfId="31"/>
    <tableColumn id="43" xr3:uid="{AA1D0F06-5876-400D-AEC4-A9BA51186BB4}" name="una_effect" dataDxfId="30"/>
    <tableColumn id="44" xr3:uid="{2E1B35E6-790B-4FD1-B218-D62562954D2C}" name="unadj_est" dataDxfId="29"/>
    <tableColumn id="45" xr3:uid="{863FF24D-DDA7-4AEC-8E56-D2B1CF50E956}" name="un_lower" dataDxfId="28"/>
    <tableColumn id="46" xr3:uid="{7E6F6753-7AE6-4B33-8928-321EA4A75206}" name="un_upper" dataDxfId="27"/>
    <tableColumn id="47" xr3:uid="{B3E1FADB-3545-4209-B53C-C3E6D14BD97C}" name="un_p_val" dataDxfId="26"/>
    <tableColumn id="48" xr3:uid="{60DDE3D6-CF7B-4A99-B8D8-2414158716A4}" name="adj_effect" dataDxfId="25"/>
    <tableColumn id="49" xr3:uid="{2123EDDE-3630-4413-80BC-93CF07EBA59D}" name="adj_est" dataDxfId="24"/>
    <tableColumn id="50" xr3:uid="{E63F400A-FDF0-4DD5-ABB2-83E3C804C286}" name="adj_lower" dataDxfId="23"/>
    <tableColumn id="51" xr3:uid="{B0C6D5F8-5715-419F-A29E-24F642663472}" name="adj_upper" dataDxfId="22"/>
    <tableColumn id="52" xr3:uid="{09D02A5C-2B0E-4B5B-9E00-570650DBEE7A}" name="adj_p_val" dataDxfId="21"/>
    <tableColumn id="53" xr3:uid="{890D9196-A129-43E6-81DD-D8AB87917755}" name="adjusted_for" dataDxfId="2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1825D9-EB95-4810-9253-F86B5C0B7773}" name="Table13" displayName="Table13" ref="A1:R222" totalsRowShown="0" headerRowDxfId="19" dataDxfId="18">
  <autoFilter ref="A1:R222" xr:uid="{70179EDD-82C2-49C7-80B9-689E0A41FA4C}"/>
  <sortState xmlns:xlrd2="http://schemas.microsoft.com/office/spreadsheetml/2017/richdata2" ref="A2:R222">
    <sortCondition ref="A1:A222"/>
  </sortState>
  <tableColumns count="18">
    <tableColumn id="1" xr3:uid="{681258BE-51F4-45D3-A868-AF1A9746554D}" name="study" dataDxfId="17"/>
    <tableColumn id="2" xr3:uid="{20ED1BD1-C5C9-47EF-9064-32DB67312A11}" name="title" dataDxfId="16"/>
    <tableColumn id="3" xr3:uid="{3F6A0D0B-4869-4372-A299-38B911293F95}" name="author" dataDxfId="15"/>
    <tableColumn id="4" xr3:uid="{8B05C4BB-4396-46D0-883D-E81650ED4F19}" name="year" dataDxfId="14"/>
    <tableColumn id="7" xr3:uid="{B6766C1B-0781-46D6-9050-7C522D126965}" name="design" dataDxfId="13"/>
    <tableColumn id="8" xr3:uid="{AF1D15F6-C5AA-442B-9EB0-2C61875D0D41}" name="study_setting" dataDxfId="12"/>
    <tableColumn id="10" xr3:uid="{C5115314-8A25-4916-8E4A-6443FDF9788B}" name="recruitment" dataDxfId="11"/>
    <tableColumn id="26" xr3:uid="{BF7347A3-5CB7-467B-B8DA-8AE08A490D68}" name="exposure_type" dataDxfId="10"/>
    <tableColumn id="27" xr3:uid="{87907FAD-028A-4D52-918D-9DAA322B243B}" name="exposure_definition" dataDxfId="9"/>
    <tableColumn id="28" xr3:uid="{470F19C0-0790-41C9-BE26-EF6FB1CAD754}" name="exposure_definition_short" dataDxfId="8"/>
    <tableColumn id="29" xr3:uid="{17C7BBA6-9E54-4860-B93E-3ECD48916913}" name="exposure_time_frame" dataDxfId="7"/>
    <tableColumn id="30" xr3:uid="{1CC5D145-D5CB-4691-8902-647DD7E7DAB6}" name="exposure_tf_bin" dataDxfId="6"/>
    <tableColumn id="31" xr3:uid="{BF997D6E-0A29-4A5B-B40F-2326274C06EF}" name="perpetrator" dataDxfId="5"/>
    <tableColumn id="38" xr3:uid="{AA580DAB-9DA8-4134-912A-92B803D2A57E}" name="adj" dataDxfId="4"/>
    <tableColumn id="9" xr3:uid="{71DC3936-A548-4D1F-B1FF-F3C6CD28BDEA}" name="representative" dataDxfId="3"/>
    <tableColumn id="6" xr3:uid="{6F9F8390-DD06-47E3-AD07-5B3F4BB20067}" name="design2" dataDxfId="2">
      <calculatedColumnFormula>IF(Table13[[#This Row],[design]]="Cross-sectional",0,1)</calculatedColumnFormula>
    </tableColumn>
    <tableColumn id="5" xr3:uid="{ABA2DD5F-84E9-47B4-84B0-280178B26041}" name="adjust" dataDxfId="1">
      <calculatedColumnFormula>IF(Table13[[#This Row],[adj]]="Adjusted",1,0)</calculatedColumnFormula>
    </tableColumn>
    <tableColumn id="15" xr3:uid="{09DD9ACD-5E28-473D-8453-26BEC5313869}" name="rob_score_3ca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810" dT="2026-06-18T12:32:28.98" personId="{BAA1B8CF-6869-42EE-8BDA-0BD94C78970E}" id="{6DCE3361-AD61-4EA3-A498-E5814C150232}">
    <text>Obtained this from age categories</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5-11-21T10:07:49.22" personId="{9593CD56-7F84-4728-9BC0-6D79A344ADEB}" id="{E7048C25-104E-4675-A95C-E812B6DD6BF4}" done="1">
    <text>ALL TGW - is that allowed in the review??</text>
  </threadedComment>
  <threadedComment ref="A2" dT="2025-11-21T10:13:22.30" personId="{9593CD56-7F84-4728-9BC0-6D79A344ADEB}" id="{A0D563AF-D07D-4951-A6FA-49CAAB630554}" parentId="{E7048C25-104E-4675-A95C-E812B6DD6BF4}">
    <text>Strange this study isnt in the MSM/TGW review</text>
  </threadedComment>
  <threadedComment ref="W2" dT="2025-11-21T10:05:40.09" personId="{9593CD56-7F84-4728-9BC0-6D79A344ADEB}" id="{2F62E598-90C6-4D82-AB67-B976649E5C79}" done="1">
    <text>0.7424</text>
  </threadedComment>
  <threadedComment ref="AA2" dT="2025-11-21T10:06:47.48" personId="{9593CD56-7F84-4728-9BC0-6D79A344ADEB}" id="{783D4DD9-BAF3-4346-92DB-B69617C5AFF1}" done="1">
    <text>Ex-
posure to violence was measured through two questions: re-
spondents were asked if in the last 12 months they had been
(1) beaten; and (2) forced to have sex against their will (rape).
Respondents answering yes to either question were coded as
1 and the remaining respondents were coded as 0.</text>
  </threadedComment>
  <threadedComment ref="AA2" dT="2025-11-21T10:07:29.46" personId="{9593CD56-7F84-4728-9BC0-6D79A344ADEB}" id="{493A1970-9296-454D-A941-8335A9C55183}" parentId="{783D4DD9-BAF3-4346-92DB-B69617C5AFF1}">
    <text>Beaten or raped in past year</text>
  </threadedComment>
  <threadedComment ref="AB2" dT="2025-11-21T10:06:52.50" personId="{9593CD56-7F84-4728-9BC0-6D79A344ADEB}" id="{08F9D07E-6013-4A64-82E7-E46D2826F100}" done="1">
    <text>Ex-
posure to violence was measured through two questions: re-
spondents were asked if in the last 12 months they had been
(1) beaten; and (2) forced to have sex against their will (rape).
Respondents answering yes to either question were coded as
1 and the remaining respondents were coded as 0.</text>
  </threadedComment>
  <threadedComment ref="AB2" dT="2025-11-21T10:07:09.22" personId="{9593CD56-7F84-4728-9BC0-6D79A344ADEB}" id="{8B116C4B-B802-44CE-96BA-91E0CC385C92}" parentId="{08F9D07E-6013-4A64-82E7-E46D2826F100}">
    <text>Beaten/raped in past year</text>
  </threadedComment>
  <threadedComment ref="AT2" dT="2025-11-21T10:12:43.60" personId="{9593CD56-7F84-4728-9BC0-6D79A344ADEB}" id="{268C0D53-D6A6-4E59-9995-8C6ED708B105}" done="1">
    <text xml:space="preserve">1.185
</text>
  </threadedComment>
  <threadedComment ref="AU2" dT="2025-11-21T10:12:56.06" personId="{9593CD56-7F84-4728-9BC0-6D79A344ADEB}" id="{60996FA8-6F37-421F-B95D-D8A8C1756904}" done="1">
    <text>8.388</text>
  </threadedComment>
  <threadedComment ref="AA4" dT="2025-11-26T16:41:41.02" personId="{DA9619AC-8416-4265-8990-FD11931F31BB}" id="{00AE32C4-A663-4924-8E09-D8EDE602FF41}" done="1">
    <text>Any emotional intimate partner violence</text>
  </threadedComment>
  <threadedComment ref="AB4" dT="2025-11-26T16:41:51.88" personId="{DA9619AC-8416-4265-8990-FD11931F31BB}" id="{26ACDBED-0C6B-4550-B980-9FAA7C55912F}" done="1">
    <text>Any emotional intimate partner violence</text>
  </threadedComment>
  <threadedComment ref="AB4" dT="2025-12-09T20:56:37.29" personId="{BAA1B8CF-6869-42EE-8BDA-0BD94C78970E}" id="{54D358EC-1198-498B-B9F7-7452DB6DDB31}" parentId="{26ACDBED-0C6B-4550-B980-9FAA7C55912F}">
    <text>I use perpetrator to show IPV</text>
  </threadedComment>
  <threadedComment ref="AW11" dT="2025-11-26T17:16:20.40" personId="{DA9619AC-8416-4265-8990-FD11931F31BB}" id="{AC77D66F-1131-46D6-954F-3057C388631F}" done="1">
    <text>3.48</text>
  </threadedComment>
  <threadedComment ref="AG12" dT="2025-11-20T20:23:12.29" personId="{9593CD56-7F84-4728-9BC0-6D79A344ADEB}" id="{23EC45BB-2A6C-470B-B122-18F439A77256}" done="1">
    <text>19.5 is HIUV prevalence among exposed.
Prevalence of exposure is 22.3% = 1356/(1356+4729)</text>
  </threadedComment>
  <threadedComment ref="AW12" dT="2025-11-20T20:22:02.37" personId="{9593CD56-7F84-4728-9BC0-6D79A344ADEB}" id="{E9DD9389-3E4B-4E11-9CFE-EB848A1C366F}" done="1">
    <text>1.07 (or 1.06504307)</text>
  </threadedComment>
  <threadedComment ref="AW12" dT="2025-12-01T14:25:08.14" personId="{BAA1B8CF-6869-42EE-8BDA-0BD94C78970E}" id="{6DFB6B6E-47A7-4502-A497-DF4BB854E52D}" parentId="{E9DD9389-3E4B-4E11-9CFE-EB848A1C366F}">
    <text>Recalculated as 1.06</text>
  </threadedComment>
  <threadedComment ref="M13" dT="2025-11-20T20:25:52.44" personId="{9593CD56-7F84-4728-9BC0-6D79A344ADEB}" id="{6CCA96BB-0492-4CE9-A7A3-1DE26D162E72}" done="1">
    <text>articipants in this study
were initially recruited at the three private or public
health centres oﬀering adapted healthcare (AHC) for
FSW that existed at that time in Conakry.</text>
  </threadedComment>
  <threadedComment ref="Y13" dT="2025-11-20T20:27:33.52" personId="{9593CD56-7F84-4728-9BC0-6D79A344ADEB}" id="{7C7A7845-4366-469B-BDB6-6D0B5EAB079B}" done="1">
    <text>2 with missing data. 78/221 = 35.3%</text>
  </threadedComment>
  <threadedComment ref="AG13" dT="2025-11-20T20:29:43.01" personId="{9593CD56-7F84-4728-9BC0-6D79A344ADEB}" id="{6BF8184B-F413-4968-B7A2-7ADC4C40D5FE}" done="1">
    <text>53/(53+169) = 0.239</text>
  </threadedComment>
  <threadedComment ref="P14" dT="2025-11-20T20:33:17.19" personId="{9593CD56-7F84-4728-9BC0-6D79A344ADEB}" id="{2505E3AC-1117-41A4-916B-0B9B5D660282}" done="1">
    <text>Central Asia? Unsure of classification system used but check on that</text>
  </threadedComment>
  <threadedComment ref="X14" dT="2025-11-20T21:33:03.72" personId="{9593CD56-7F84-4728-9BC0-6D79A344ADEB}" id="{0E44EE6D-0E3B-45F7-9E3F-6086D8C486BA}" done="1">
    <text>Unsure how got this?</text>
  </threadedComment>
  <threadedComment ref="Y14" dT="2025-11-20T21:32:55.71" personId="{9593CD56-7F84-4728-9BC0-6D79A344ADEB}" id="{23D7EA81-BFCD-467E-94B5-A54653D2C5CD}" done="1">
    <text>would use HIV prevalence of 2.3% as reported in paper</text>
  </threadedComment>
  <threadedComment ref="AA14" dT="2025-11-20T21:33:34.33" personId="{9593CD56-7F84-4728-9BC0-6D79A344ADEB}" id="{4FB0F7CB-4DF4-4F00-8FB9-634FB5F982B8}" done="1">
    <text>In methods "*Experience of violence, stigma and discrimination*"</text>
  </threadedComment>
  <threadedComment ref="AA14" dT="2025-11-20T21:36:15.44" personId="{9593CD56-7F84-4728-9BC0-6D79A344ADEB}" id="{58CA68E5-AF36-4B04-9D12-3BF01ACA5A1F}" parentId="{4FB0F7CB-4DF4-4F00-8FB9-634FB5F982B8}">
    <text>So should the classification be other?</text>
  </threadedComment>
  <threadedComment ref="AG14" dT="2025-11-20T21:43:00.46" personId="{9593CD56-7F84-4728-9BC0-6D79A344ADEB}" id="{8AFA5A60-6803-4BF2-8EC4-491B4294CE2A}" done="1">
    <text>From table 1 it is 0.611</text>
  </threadedComment>
  <threadedComment ref="M15" dT="2025-11-20T21:19:59.59" personId="{9593CD56-7F84-4728-9BC0-6D79A344ADEB}" id="{E5910962-5335-4F21-98EF-C50B25548BD2}" done="1">
    <text>According to methods in appendix miltiple methods used: 
The rationale for district selection has
been described extensively by Saidel et al,
3 with standard cluster sampling, time-location cluster
sampling or respondent-driven sampling used for FSW selection, depending on the local sex work
typology (multiple sampling methods could be used within the same district)</text>
  </threadedComment>
  <threadedComment ref="BF15" dT="2025-11-21T06:50:54.38" personId="{9593CD56-7F84-4728-9BC0-6D79A344ADEB}" id="{C8B1EC24-226A-4B25-BF9D-A51656A2BD48}" done="1">
    <text>This could be extracted</text>
  </threadedComment>
  <threadedComment ref="M16" dT="2025-11-21T06:51:33.23" personId="{9593CD56-7F84-4728-9BC0-6D79A344ADEB}" id="{333074B8-C742-4F1E-BFFB-C0FD5A9B92AF}" done="1">
    <text>Systematic random sampling (supposedly)</text>
  </threadedComment>
  <threadedComment ref="U17" dT="2025-11-21T06:58:53.40" personId="{9593CD56-7F84-4728-9BC0-6D79A344ADEB}" id="{7CB44EE9-04F4-4FCA-AEF8-A0747F482A3F}" done="1">
    <text>Past month</text>
  </threadedComment>
  <threadedComment ref="AC17" dT="2025-11-21T07:00:10.39" personId="{9593CD56-7F84-4728-9BC0-6D79A344ADEB}" id="{1DFEC95D-2449-4CF4-97F8-3FE295507E35}" done="1">
    <text>Ever (Since starting sex work)</text>
  </threadedComment>
  <threadedComment ref="AJ17" dT="2025-11-21T07:03:19.58" personId="{9593CD56-7F84-4728-9BC0-6D79A344ADEB}" id="{3F848E23-466B-433C-9D39-8DC6805B9F43}" done="1">
    <text>HIV prevalent infection based on test results</text>
  </threadedComment>
  <threadedComment ref="U18" dT="2025-11-21T06:58:53.40" personId="{9593CD56-7F84-4728-9BC0-6D79A344ADEB}" id="{C2DC8A4E-96AA-4B63-B9FC-261340366AA2}" done="1">
    <text>Past month</text>
  </threadedComment>
  <threadedComment ref="AN19" dT="2025-11-21T07:08:53.57" personId="{9593CD56-7F84-4728-9BC0-6D79A344ADEB}" id="{39F75F9A-B0BD-44CE-AA71-2C25004E9AB2}" done="1">
    <text>HIV+Ve who Self-reported being on ART</text>
  </threadedComment>
  <threadedComment ref="AN20" dT="2025-11-21T07:08:53.57" personId="{9593CD56-7F84-4728-9BC0-6D79A344ADEB}" id="{8C56B44F-0E25-4292-8530-70C4C752E664}" done="1">
    <text>HIV+Ve who Self-reported being on ART</text>
  </threadedComment>
  <threadedComment ref="AS22" dT="2025-11-21T08:04:10.32" personId="{9593CD56-7F84-4728-9BC0-6D79A344ADEB}" id="{272722AB-BFD6-4E47-885F-3A408651007A}" done="1">
    <text>I get slightly different numbers; 0.96 (0.77-1.20)</text>
  </threadedComment>
  <threadedComment ref="AW22" dT="2025-11-21T08:04:10.32" personId="{9593CD56-7F84-4728-9BC0-6D79A344ADEB}" id="{C6A3C46C-D9D4-493E-91FE-2A105DFD7367}" done="1">
    <text>I get slightly different numbers; 0.96 (0.77-1.20)</text>
  </threadedComment>
  <threadedComment ref="AG23" dT="2025-11-21T08:12:45.77" personId="{9593CD56-7F84-4728-9BC0-6D79A344ADEB}" id="{1724CFE5-D9AF-465C-9434-CDEE007AE956}" done="1">
    <text>If being used to estimate % experiencing violence in paper then use 10.1% (433/4279)</text>
  </threadedComment>
  <threadedComment ref="AG24" dT="2025-11-21T08:12:59.48" personId="{9593CD56-7F84-4728-9BC0-6D79A344ADEB}" id="{07191854-3C78-4EC4-91C6-EB7FDC9FB0E3}" done="1">
    <text>In all, the prevalence of sexual violence was 24.8% (1059/4279).</text>
  </threadedComment>
  <threadedComment ref="A28" dT="2025-11-21T08:28:51.57" personId="{9593CD56-7F84-4728-9BC0-6D79A344ADEB}" id="{08C2B59B-DF64-49FC-8A4E-6667F981FD8E}" done="1">
    <text>From table 3 can also extract effect for ever testing</text>
  </threadedComment>
  <threadedComment ref="AC28" dT="2025-11-21T08:27:15.22" personId="{9593CD56-7F84-4728-9BC0-6D79A344ADEB}" id="{9C209932-4CC4-4888-8100-6D51328DE6CF}" done="1">
    <text>Past year</text>
  </threadedComment>
  <threadedComment ref="A29" dT="2025-11-21T08:28:51.57" personId="{9593CD56-7F84-4728-9BC0-6D79A344ADEB}" id="{F60BA1D9-D165-406A-8871-6471F05013DE}" done="1">
    <text>From table 3 can also extract effect for ever testing</text>
  </threadedComment>
  <threadedComment ref="AC29" dT="2025-11-21T08:27:15.22" personId="{9593CD56-7F84-4728-9BC0-6D79A344ADEB}" id="{4AF883E9-1F14-41A8-98B7-E12B73AF90E4}" done="1">
    <text>Past year</text>
  </threadedComment>
  <threadedComment ref="Y30" dT="2025-11-21T08:41:36.49" personId="{9593CD56-7F84-4728-9BC0-6D79A344ADEB}" id="{F057F0C0-6807-4B7D-8871-39A61CC352AB}" done="1">
    <text>8.2% for this study</text>
  </threadedComment>
  <threadedComment ref="Y31" dT="2025-11-21T08:41:36.49" personId="{9593CD56-7F84-4728-9BC0-6D79A344ADEB}" id="{C9C55F17-9254-449F-BF62-2803D1AAFFBD}" done="1">
    <text>8.2% for this study</text>
  </threadedComment>
  <threadedComment ref="AB31" dT="2025-11-21T09:07:22.42" personId="{9593CD56-7F84-4728-9BC0-6D79A344ADEB}" id="{4B411E3A-1949-49B5-A4CB-61E463DFB246}" done="1">
    <text>Domestic and workplace/community violence</text>
  </threadedComment>
  <threadedComment ref="Y32" dT="2025-11-21T08:41:36.49" personId="{9593CD56-7F84-4728-9BC0-6D79A344ADEB}" id="{F0944CA9-9BE7-4EFF-B4B6-D4248B96DDCC}" done="1">
    <text>8.2% for this study</text>
  </threadedComment>
  <threadedComment ref="Y33" dT="2025-11-21T08:41:36.49" personId="{9593CD56-7F84-4728-9BC0-6D79A344ADEB}" id="{806CC653-16CF-43C7-B7EC-CAB24A6A956B}" done="1">
    <text>8.2% for this study</text>
  </threadedComment>
  <threadedComment ref="AG33" dT="2025-11-21T09:04:32.06" personId="{9593CD56-7F84-4728-9BC0-6D79A344ADEB}" id="{A17B5DE1-6AC4-4699-8638-41699F4303F0}" done="1">
    <text>0.334= 365/(365+727)</text>
  </threadedComment>
  <threadedComment ref="A34" dT="2025-11-21T09:11:10.00" personId="{9593CD56-7F84-4728-9BC0-6D79A344ADEB}" id="{19DD509B-1DE3-4DCF-8609-00B568FD5AF1}" done="1">
    <text>2018?</text>
  </threadedComment>
  <threadedComment ref="D34" dT="2025-11-21T09:11:15.81" personId="{9593CD56-7F84-4728-9BC0-6D79A344ADEB}" id="{AE26437B-975F-468A-AB79-44694509EC21}" done="1">
    <text>2018?</text>
  </threadedComment>
  <threadedComment ref="F34" dT="2025-11-21T09:11:29.10" personId="{9593CD56-7F84-4728-9BC0-6D79A344ADEB}" id="{A4327D0F-164E-4B4B-9E9F-6564D4D9041E}" done="1">
    <text>FALSE</text>
  </threadedComment>
  <threadedComment ref="O34" dT="2025-11-21T09:12:59.22" personId="{9593CD56-7F84-4728-9BC0-6D79A344ADEB}" id="{71C09272-07E0-4735-8F77-3D3C6C7A6F0C}" done="1">
    <text>Unknown?</text>
  </threadedComment>
  <threadedComment ref="O34" dT="2025-12-01T15:44:56.53" personId="{BAA1B8CF-6869-42EE-8BDA-0BD94C78970E}" id="{5506B68E-59B1-4351-8CF2-6DCFA26E6398}" parentId="{71C09272-07E0-4735-8F77-3D3C6C7A6F0C}">
    <text>It’s multi city</text>
  </threadedComment>
  <threadedComment ref="Y34" dT="2025-11-21T09:14:36.69" personId="{9593CD56-7F84-4728-9BC0-6D79A344ADEB}" id="{8B2AD853-4C6B-446D-BF76-705C253CD10F}" done="1">
    <text>69.6% N= 319 for this</text>
  </threadedComment>
  <threadedComment ref="AG34" dT="2025-11-21T09:16:29.11" personId="{9593CD56-7F84-4728-9BC0-6D79A344ADEB}" id="{0852DFBD-7D94-444D-B31D-3EB7E5C809BC}" done="1">
    <text>if this is used in pooling - then use RDS weighted estimate - 48.4%?</text>
  </threadedComment>
  <threadedComment ref="AS34" dT="2025-11-21T09:22:06.46" personId="{9593CD56-7F84-4728-9BC0-6D79A344ADEB}" id="{69575B46-4FCC-4E52-8468-112EE5CAA9ED}" done="1">
    <text>I get 1.09 (0.67-1.78)</text>
  </threadedComment>
  <threadedComment ref="AW34" dT="2025-11-21T09:22:06.46" personId="{9593CD56-7F84-4728-9BC0-6D79A344ADEB}" id="{81E82A76-0FA1-43D1-A84A-30C02B6EEA5B}" done="1">
    <text>I get 1.09 (0.67-1.78)</text>
  </threadedComment>
  <threadedComment ref="A35" dT="2025-11-21T09:11:10.00" personId="{9593CD56-7F84-4728-9BC0-6D79A344ADEB}" id="{CC99E789-60B1-4CB2-AC4C-0AC254776FC2}" done="1">
    <text>2018?</text>
  </threadedComment>
  <threadedComment ref="D35" dT="2025-11-21T09:11:15.81" personId="{9593CD56-7F84-4728-9BC0-6D79A344ADEB}" id="{10E691B3-019A-4075-B492-D18039FE3B35}" done="1">
    <text>2018?</text>
  </threadedComment>
  <threadedComment ref="F35" dT="2025-11-21T09:11:29.10" personId="{9593CD56-7F84-4728-9BC0-6D79A344ADEB}" id="{330D4F01-E75A-4879-A6EB-7C700290A822}" done="1">
    <text>FALSE</text>
  </threadedComment>
  <threadedComment ref="Y35" dT="2025-11-21T09:14:36.69" personId="{9593CD56-7F84-4728-9BC0-6D79A344ADEB}" id="{69E802A0-4674-4B5A-BEC0-3159CD794188}" done="1">
    <text>69.6% N= 319 for this</text>
  </threadedComment>
  <threadedComment ref="M36" dT="2025-11-21T09:26:13.72" personId="{9593CD56-7F84-4728-9BC0-6D79A344ADEB}" id="{A28729E4-4706-46C6-9AC2-541414A5858E}" done="1">
    <text>Sort of convenience sampling?</text>
  </threadedComment>
  <threadedComment ref="AA36" dT="2025-11-21T09:31:15.52" personId="{9593CD56-7F84-4728-9BC0-6D79A344ADEB}" id="{7371A2D9-81CF-4892-BCBC-7385D39FF4F3}" done="1">
    <text>This is for violence and substance use together</text>
  </threadedComment>
  <threadedComment ref="AB36" dT="2025-11-21T09:31:15.52" personId="{9593CD56-7F84-4728-9BC0-6D79A344ADEB}" id="{179FB91D-0BDD-4010-A24A-5716FA68845B}" done="1">
    <text>This is for violence and substance use together</text>
  </threadedComment>
  <threadedComment ref="A37" dT="2025-11-21T09:32:26.00" personId="{9593CD56-7F84-4728-9BC0-6D79A344ADEB}" id="{83CC3671-6338-4CD1-ABD8-4C9EC9003E41}" done="1">
    <text>2019</text>
  </threadedComment>
  <threadedComment ref="D37" dT="2025-11-21T09:32:35.66" personId="{9593CD56-7F84-4728-9BC0-6D79A344ADEB}" id="{0E867546-6B89-4EFC-B072-7637D2BE57A1}" done="1">
    <text>2019</text>
  </threadedComment>
  <threadedComment ref="A38" dT="2025-11-21T09:32:26.00" personId="{9593CD56-7F84-4728-9BC0-6D79A344ADEB}" id="{F62C4C7A-B342-40B1-A7EC-4AF2916C68F8}" done="1">
    <text>2019</text>
  </threadedComment>
  <threadedComment ref="D38" dT="2025-11-21T09:32:35.66" personId="{9593CD56-7F84-4728-9BC0-6D79A344ADEB}" id="{C11FE7A7-D031-49C0-ADEC-B47D7669289D}" done="1">
    <text>2019</text>
  </threadedComment>
  <threadedComment ref="A39" dT="2025-11-21T09:58:35.18" personId="{9593CD56-7F84-4728-9BC0-6D79A344ADEB}" id="{50266D17-386A-4430-B8C7-4AE92F4A0FAF}" done="1">
    <text>Can also extract OR of recent infection vs HIV negative - and use in incidence Meta-analysis</text>
  </threadedComment>
  <threadedComment ref="A40" dT="2025-11-21T09:58:35.18" personId="{9593CD56-7F84-4728-9BC0-6D79A344ADEB}" id="{718E3FE0-22D4-4B60-BBB5-EA32B09DF523}" done="1">
    <text>Can also extract OR of recent infection vs HIV negative - and use in incidence Meta-analysis</text>
  </threadedComment>
  <threadedComment ref="AG41" dT="2025-11-21T10:02:43.38" personId="{9593CD56-7F84-4728-9BC0-6D79A344ADEB}" id="{28C9B2F3-DF82-4E28-B8C0-D173D974E913}" done="1">
    <text>23.8%</text>
  </threadedComment>
  <threadedComment ref="AG41" dT="2025-11-21T10:02:46.73" personId="{9593CD56-7F84-4728-9BC0-6D79A344ADEB}" id="{5949ADF9-DCC8-4636-B55C-5C16499CD3E0}" parentId="{28C9B2F3-DF82-4E28-B8C0-D173D974E913}">
    <text>82/(82+263)</text>
  </threadedComment>
  <threadedComment ref="U42" dT="2025-11-21T10:17:44.50" personId="{9593CD56-7F84-4728-9BC0-6D79A344ADEB}" id="{0946F756-4276-44D4-8844-6ABB166ECE9D}" done="1">
    <text>Unclear - arguably ever or current 
"In the study, all FCSWs who were
living in these kebelles and who had been working
as commercial sex worker for at least 3 months
preceding the study were included."</text>
  </threadedComment>
  <threadedComment ref="AU49" dT="2025-11-21T10:50:18.21" personId="{9593CD56-7F84-4728-9BC0-6D79A344ADEB}" id="{C368065E-AA96-48C5-A11F-C1A7A5488121}" done="1">
    <text>1.20</text>
  </threadedComment>
  <threadedComment ref="BD49" dT="2025-11-21T10:50:26.41" personId="{9593CD56-7F84-4728-9BC0-6D79A344ADEB}" id="{FEE68094-101A-4FD0-A2E1-8954A3CC7A3A}" done="1">
    <text>1.20</text>
  </threadedComment>
  <threadedComment ref="AS51" dT="2025-11-21T10:53:32.45" personId="{9593CD56-7F84-4728-9BC0-6D79A344ADEB}" id="{914EC8C3-060D-4CAD-AEEA-7C21592D51A2}" done="1">
    <text>1.743</text>
  </threadedComment>
  <threadedComment ref="AT51" dT="2025-11-21T10:53:39.51" personId="{9593CD56-7F84-4728-9BC0-6D79A344ADEB}" id="{984A2285-FB9F-47C8-9AB5-E3FDB43CBA40}" done="1">
    <text>1.002</text>
  </threadedComment>
  <threadedComment ref="AW51" dT="2025-11-21T10:53:32.45" personId="{9593CD56-7F84-4728-9BC0-6D79A344ADEB}" id="{36397AA6-56E0-46F1-9B8F-7D52A57FE877}" done="1">
    <text>1.743</text>
  </threadedComment>
  <threadedComment ref="J52" dT="2025-11-21T10:55:46.35" personId="{9593CD56-7F84-4728-9BC0-6D79A344ADEB}" id="{E1F1F51B-D31C-40CE-9003-090022DA1F3F}" done="1">
    <text>If RDS then community?</text>
  </threadedComment>
  <threadedComment ref="L52" dT="2025-11-21T10:54:56.91" personId="{9593CD56-7F84-4728-9BC0-6D79A344ADEB}" id="{AD05DAB0-96EB-46C4-A494-3590B72D93C0}" done="1">
    <text>2839</text>
  </threadedComment>
  <threadedComment ref="U52" dT="2026-06-24T09:34:23.91" personId="{BAA1B8CF-6869-42EE-8BDA-0BD94C78970E}" id="{78811E3F-1BD4-4444-A2F9-61A86B9953C4}">
    <text>https://link.springer.com/article/10.1186/s13063-015-1095-1#Sec3</text>
    <extLst>
      <x:ext xmlns:xltc2="http://schemas.microsoft.com/office/spreadsheetml/2020/threadedcomments2" uri="{F7C98A9C-CBB3-438F-8F68-D28B6AF4A901}">
        <xltc2:checksum>1612104525</xltc2:checksum>
        <xltc2:hyperlink startIndex="0" length="64" url="https://link.springer.com/article/10.1186/s13063-015-1095-1#Sec3"/>
      </x:ext>
    </extLst>
  </threadedComment>
  <threadedComment ref="AN52" dT="2025-11-21T11:12:33.24" personId="{9593CD56-7F84-4728-9BC0-6D79A344ADEB}" id="{FF98206A-1D75-436B-A6F0-08D34EE6EADC}" done="1">
    <text>Know living with HIV</text>
  </threadedComment>
  <threadedComment ref="BA52" dT="2025-11-21T11:12:02.35" personId="{9593CD56-7F84-4728-9BC0-6D79A344ADEB}" id="{99FBD064-261C-4D8D-8E7B-EC39E3D9F21A}" done="1">
    <text>There are adjusted RRS in table 4. Why not use those?</text>
  </threadedComment>
  <threadedComment ref="BA52" dT="2025-12-01T16:32:51.70" personId="{BAA1B8CF-6869-42EE-8BDA-0BD94C78970E}" id="{1E5DE9D6-2BF7-4E1E-9290-090847D057F9}" parentId="{99FBD064-261C-4D8D-8E7B-EC39E3D9F21A}">
    <text>Extract for all three</text>
  </threadedComment>
  <threadedComment ref="J53" dT="2025-11-21T10:55:46.35" personId="{9593CD56-7F84-4728-9BC0-6D79A344ADEB}" id="{ABC579BB-7A61-4C72-8C98-464E620A5425}" done="1">
    <text>If RDS then community?</text>
  </threadedComment>
  <threadedComment ref="L53" dT="2025-11-21T10:54:56.91" personId="{9593CD56-7F84-4728-9BC0-6D79A344ADEB}" id="{83706142-C721-4F0D-8486-433B70091F83}" done="1">
    <text>2839</text>
  </threadedComment>
  <threadedComment ref="J54" dT="2025-11-21T10:55:46.35" personId="{9593CD56-7F84-4728-9BC0-6D79A344ADEB}" id="{75153904-AD2A-40EF-BE97-9FAA4372C4E8}" done="1">
    <text>If RDS then community?</text>
  </threadedComment>
  <threadedComment ref="L54" dT="2025-11-21T10:54:56.91" personId="{9593CD56-7F84-4728-9BC0-6D79A344ADEB}" id="{682E7899-6D49-4264-97E8-2F9E5750DC33}" done="1">
    <text>2839</text>
  </threadedComment>
  <threadedComment ref="AT54" dT="2025-11-21T11:11:34.63" personId="{9593CD56-7F84-4728-9BC0-6D79A344ADEB}" id="{6F98FB53-CD34-4AA8-A4DA-233DCFFB26A2}" done="1">
    <text>0.59</text>
  </threadedComment>
  <threadedComment ref="AX54" dT="2025-11-21T11:11:34.63" personId="{9593CD56-7F84-4728-9BC0-6D79A344ADEB}" id="{2CFEB513-2235-44D1-9C93-6FCB9D71AC21}" done="1">
    <text>0.59</text>
  </threadedComment>
  <threadedComment ref="U55" dT="2025-11-21T11:17:16.90" personId="{9593CD56-7F84-4728-9BC0-6D79A344ADEB}" id="{944D79C0-098D-439A-901A-018319852B86}" done="1">
    <text>Current?</text>
  </threadedComment>
  <threadedComment ref="A56" dT="2025-11-21T11:32:32.86" personId="{9593CD56-7F84-4728-9BC0-6D79A344ADEB}" id="{4AC71967-57A3-4BB7-83B1-3FF960AB9669}" done="1">
    <text>Also could estimate ORs for Pimp sexual violence (with correction for zero count), Pimp physical violence, presented with more clients than agreed to</text>
  </threadedComment>
  <threadedComment ref="A56" dT="2025-12-01T16:39:25.72" personId="{BAA1B8CF-6869-42EE-8BDA-0BD94C78970E}" id="{C0C169BF-E2A9-4783-9187-8F275853771A}" parentId="{4AC71967-57A3-4BB7-83B1-3FF960AB9669}">
    <text>Also extract the more clients thing</text>
  </threadedComment>
  <threadedComment ref="A56" dT="2025-12-01T16:40:55.62" personId="{BAA1B8CF-6869-42EE-8BDA-0BD94C78970E}" id="{18EA72A6-8DD0-4854-81B9-14D0954FA046}" parentId="{4AC71967-57A3-4BB7-83B1-3FF960AB9669}">
    <text>Calculate using correction but put as footnote in table rather than in methods</text>
  </threadedComment>
  <threadedComment ref="U56" dT="2025-11-21T11:17:16.90" personId="{9593CD56-7F84-4728-9BC0-6D79A344ADEB}" id="{52072F73-138F-4658-B4D8-E02C95434F2C}" done="1">
    <text>Current?</text>
  </threadedComment>
  <threadedComment ref="AN56" dT="2025-11-21T11:13:38.05" personId="{9593CD56-7F84-4728-9BC0-6D79A344ADEB}" id="{CC541DFE-7CBF-49B5-B47E-E5F7D65C5FDC}" done="1">
    <text>Seems to be those who do not know living with HIV</text>
  </threadedComment>
  <threadedComment ref="U57" dT="2025-11-21T11:17:16.90" personId="{9593CD56-7F84-4728-9BC0-6D79A344ADEB}" id="{2ABF514E-9BDC-4338-8083-E094BCFF08C4}" done="1">
    <text>Current?</text>
  </threadedComment>
  <threadedComment ref="U58" dT="2025-11-21T11:17:16.90" personId="{9593CD56-7F84-4728-9BC0-6D79A344ADEB}" id="{75EA599B-5FE5-47BE-96F7-EB617C9BF1FB}" done="1">
    <text>Current?</text>
  </threadedComment>
  <threadedComment ref="U59" dT="2025-11-21T11:17:16.90" personId="{9593CD56-7F84-4728-9BC0-6D79A344ADEB}" id="{3FA30B4F-FD4F-45B0-8FB4-B2CE232830F3}" done="1">
    <text>Current?</text>
  </threadedComment>
  <threadedComment ref="U60" dT="2025-11-21T11:17:16.90" personId="{9593CD56-7F84-4728-9BC0-6D79A344ADEB}" id="{964198D4-20FF-4B17-B595-386A40159452}" done="1">
    <text>Current?</text>
  </threadedComment>
  <threadedComment ref="U61" dT="2025-11-21T11:39:51.89" personId="{9593CD56-7F84-4728-9BC0-6D79A344ADEB}" id="{90B08310-3F45-43C4-806B-BEAB325E5D41}" done="1">
    <text>This is for the qualitative survey not quant. Not sure it is defined - maybe current?</text>
  </threadedComment>
  <threadedComment ref="U62" dT="2025-11-21T11:39:51.89" personId="{9593CD56-7F84-4728-9BC0-6D79A344ADEB}" id="{20D8FA7C-CB3D-4463-8546-D91D0C72831A}" done="1">
    <text>This is for the qualitative survey not quant. Not sure it is defined - maybe current?</text>
  </threadedComment>
  <threadedComment ref="U63" dT="2025-11-21T11:39:51.89" personId="{9593CD56-7F84-4728-9BC0-6D79A344ADEB}" id="{B35488E5-F97B-484B-B844-8D32ADF1B9C9}" done="1">
    <text>This is for the qualitative survey not quant. Not sure it is defined - maybe current?</text>
  </threadedComment>
  <threadedComment ref="U64" dT="2025-11-21T11:39:51.89" personId="{9593CD56-7F84-4728-9BC0-6D79A344ADEB}" id="{A0BE469D-FFAF-4336-B710-DEE9229B758F}" done="1">
    <text>This is for the qualitative survey not quant. Not sure it is defined - maybe current?</text>
  </threadedComment>
  <threadedComment ref="U65" dT="2025-11-21T11:39:51.89" personId="{9593CD56-7F84-4728-9BC0-6D79A344ADEB}" id="{769E4C33-AEE9-4213-A50F-BC9A11DED19A}" done="1">
    <text>This is for the qualitative survey not quant. Not sure it is defined - maybe current?</text>
  </threadedComment>
  <threadedComment ref="AF66" dT="2025-11-21T11:56:31.15" personId="{9593CD56-7F84-4728-9BC0-6D79A344ADEB}" id="{B340D370-DD42-45C2-99F1-F392C636C507}" done="1">
    <text>These are the number with outcome?</text>
  </threadedComment>
  <threadedComment ref="AF66" dT="2025-11-21T11:57:46.96" personId="{9593CD56-7F84-4728-9BC0-6D79A344ADEB}" id="{8A7F0066-F2B5-4B3F-8E10-21F29B1DE42B}" parentId="{B340D370-DD42-45C2-99F1-F392C636C507}">
    <text>Not right</text>
  </threadedComment>
  <threadedComment ref="AG66" dT="2025-11-21T11:57:26.73" personId="{9593CD56-7F84-4728-9BC0-6D79A344ADEB}" id="{8F037DF1-D3F6-4675-B321-9444B3086129}" done="1">
    <text>If this is what you are using when pooling then 60.4%</text>
  </threadedComment>
  <threadedComment ref="AN66" dT="2025-11-21T11:54:45.48" personId="{9593CD56-7F84-4728-9BC0-6D79A344ADEB}" id="{16B3F7F6-45FC-4058-87A4-8C65D2C81A62}" done="1">
    <text>Self-report being HIV+</text>
  </threadedComment>
  <threadedComment ref="AN66" dT="2025-11-21T11:55:00.89" personId="{9593CD56-7F84-4728-9BC0-6D79A344ADEB}" id="{B889188F-B6A5-465E-915A-48E98704BC71}" parentId="{16B3F7F6-45FC-4058-87A4-8C65D2C81A62}">
    <text>Does that meet inclusion criteria??</text>
  </threadedComment>
  <threadedComment ref="AW66" dT="2025-11-21T12:29:21.10" personId="{9593CD56-7F84-4728-9BC0-6D79A344ADEB}" id="{39113FCF-CD56-4E26-92B6-BE77DCA66775}" done="1">
    <text>I think you cn work this out: 0.59 (0.20-1.72)</text>
  </threadedComment>
  <threadedComment ref="AF67" dT="2025-11-21T11:56:31.15" personId="{9593CD56-7F84-4728-9BC0-6D79A344ADEB}" id="{A9D7F15F-BE27-46D2-AD8B-80D032ABAF56}" done="1">
    <text>These are the number with outcome?</text>
  </threadedComment>
  <threadedComment ref="AF67" dT="2025-11-21T11:57:46.96" personId="{9593CD56-7F84-4728-9BC0-6D79A344ADEB}" id="{801CB555-1650-49FD-A5E8-C2A4E23E17AB}" parentId="{A9D7F15F-BE27-46D2-AD8B-80D032ABAF56}">
    <text>Not right</text>
  </threadedComment>
  <threadedComment ref="AG67" dT="2025-11-21T11:57:26.73" personId="{9593CD56-7F84-4728-9BC0-6D79A344ADEB}" id="{259EC1F6-3229-4043-BBD1-D170A8630285}" done="1">
    <text>If this is what you are using when pooling then 60.4%</text>
  </threadedComment>
  <threadedComment ref="AN67" dT="2025-11-21T11:55:13.11" personId="{9593CD56-7F84-4728-9BC0-6D79A344ADEB}" id="{DFFEADBE-C45A-440E-ACB5-5C739F26F7FD}" done="1">
    <text>Self report HIV negative</text>
  </threadedComment>
  <threadedComment ref="AW67" dT="2025-11-21T12:12:36.07" personId="{9593CD56-7F84-4728-9BC0-6D79A344ADEB}" id="{77278C7A-E665-495E-9F77-ECFB90597AB7}" done="1">
    <text>I think you can work this out: 0.83 (0.66-1.05)</text>
  </threadedComment>
  <threadedComment ref="AW67" dT="2025-12-01T16:49:48.78" personId="{BAA1B8CF-6869-42EE-8BDA-0BD94C78970E}" id="{810112EB-C58A-4D75-8005-4CB86F28D63B}" parentId="{77278C7A-E665-495E-9F77-ECFB90597AB7}">
    <text>Well done</text>
  </threadedComment>
  <threadedComment ref="Y68" dT="2025-11-21T12:23:39.54" personId="{9593CD56-7F84-4728-9BC0-6D79A344ADEB}" id="{99FE3017-B94D-432B-AB3D-6B1AF38DC340}" done="1">
    <text>RDS weighted = 31.4</text>
  </threadedComment>
  <threadedComment ref="AG68" dT="2025-11-21T12:27:54.46" personId="{9593CD56-7F84-4728-9BC0-6D79A344ADEB}" id="{51F722E9-D657-43F9-B1B5-C75900E89205}" done="1">
    <text>If this is what is being used to pool % experiencing violence, then would use largest sample which is for serostatus knowledge: (66+144)/(66+144+39+71) = -.65625</text>
  </threadedComment>
  <threadedComment ref="AH68" dT="2025-11-21T12:46:42.87" personId="{9593CD56-7F84-4728-9BC0-6D79A344ADEB}" id="{2DDE2D8B-9124-46BC-81BB-9E8251479CD5}" done="1">
    <text>No</text>
  </threadedComment>
  <threadedComment ref="Y69" dT="2025-11-21T12:23:39.54" personId="{9593CD56-7F84-4728-9BC0-6D79A344ADEB}" id="{20A08E17-0B0D-4A12-974C-5453A4E993A5}" done="1">
    <text>RDS weighted = 31.4</text>
  </threadedComment>
  <threadedComment ref="AH69" dT="2025-11-21T12:46:48.54" personId="{9593CD56-7F84-4728-9BC0-6D79A344ADEB}" id="{B73F9E5B-1C73-4B06-8D5D-A5FB2FD3C350}" done="1">
    <text>Yes</text>
  </threadedComment>
  <threadedComment ref="AB72" dT="2025-11-24T16:27:59.49" personId="{DA9619AC-8416-4265-8990-FD11931F31BB}" id="{FBFDA73D-E7D3-4EC2-880E-BEF25D9F458C}" done="1">
    <text xml:space="preserve">I presume this is fine to use as an exposure, but I’m copying here so Jack can confirm:
The dependent variable was involuntary sex exchange, which was defined as a ‘yes’ response to either of the following questions: ‘Have you ever been sold or traded for sexual purposes?’ or ‘Have you ever been forced to exchange sex for money, drugs, or other goods at the orders of another person?’ These measures were designed based on the UN Palermo Protocol definition of trafficking in persons and formative qualitative research conducted with FSWs, and were pilot-tested. </text>
  </threadedComment>
  <threadedComment ref="AB72" dT="2025-12-09T17:06:44.39" personId="{BAA1B8CF-6869-42EE-8BDA-0BD94C78970E}" id="{7E24A7BC-35D9-4BA1-A35F-EB91DAD6CAE7}" parentId="{FBFDA73D-E7D3-4EC2-880E-BEF25D9F458C}">
    <text>Discussed with jack and is fine</text>
  </threadedComment>
  <threadedComment ref="AS72" dT="2025-11-24T16:32:38.04" personId="{DA9619AC-8416-4265-8990-FD11931F31BB}" id="{361FD7F5-4BCC-4ABF-AE1C-F5915D30691A}" done="1">
    <text>I can’t see calculation for this</text>
  </threadedComment>
  <threadedComment ref="AS72" dT="2025-11-26T13:33:08.21" personId="{9593CD56-7F84-4728-9BC0-6D79A344ADEB}" id="{18C40844-920C-4380-BFCD-95BF1962B0BD}" parentId="{361FD7F5-4BCC-4ABF-AE1C-F5915D30691A}">
    <text>Have checked and okay</text>
  </threadedComment>
  <threadedComment ref="AS72" dT="2025-12-07T21:44:48.23" personId="{BAA1B8CF-6869-42EE-8BDA-0BD94C78970E}" id="{F9D95DD0-F7DF-43E0-B279-407529C53793}" parentId="{361FD7F5-4BCC-4ABF-AE1C-F5915D30691A}">
    <text>Have added it</text>
  </threadedComment>
  <threadedComment ref="BF73" dT="2025-11-24T16:38:31.85" personId="{DA9619AC-8416-4265-8990-FD11931F31BB}" id="{53825F4D-C694-47F3-8AC0-704E8F928969}" done="1">
    <text>Educational attainment: none or incomplete primary school, age at first sex work, and incarceration</text>
  </threadedComment>
  <threadedComment ref="AB78" dT="2025-11-24T16:51:22.60" personId="{DA9619AC-8416-4265-8990-FD11931F31BB}" id="{55074CAC-16B6-4D2E-A801-8AFC47EEF139}" done="1">
    <text>Why would “Lived in an IDP camp” and “War-related abduction” be included as exposures for the Goldenberg study above but not for this one?</text>
  </threadedComment>
  <threadedComment ref="AB78" dT="2025-11-26T13:38:25.51" personId="{9593CD56-7F84-4728-9BC0-6D79A344ADEB}" id="{BC869995-750C-4906-BA46-CB2B5667EC55}" parentId="{55074CAC-16B6-4D2E-A801-8AFC47EEF139}">
    <text xml:space="preserve">On the face of it They dont really seem like violence? Maybe abducted into army, maybe. </text>
  </threadedComment>
  <threadedComment ref="AB78" dT="2025-12-07T22:04:08.12" personId="{BAA1B8CF-6869-42EE-8BDA-0BD94C78970E}" id="{CFA59261-8E16-4C6F-90F1-4FF1A33DB2FB}" parentId="{55074CAC-16B6-4D2E-A801-8AFC47EEF139}">
    <text>Discussed with Jack and have included war-related abducted and removed lived in IDP camp</text>
  </threadedComment>
  <threadedComment ref="AS78" dT="2025-11-24T16:52:50.21" personId="{DA9619AC-8416-4265-8990-FD11931F31BB}" id="{C2489932-2121-4732-B8D3-FA5EA84519B4}" done="1">
    <text>I can’t see this calculation</text>
  </threadedComment>
  <threadedComment ref="AS78" dT="2025-11-26T13:41:45.01" personId="{9593CD56-7F84-4728-9BC0-6D79A344ADEB}" id="{E45705F6-FD99-497C-8800-6639A80859EB}" parentId="{C2489932-2121-4732-B8D3-FA5EA84519B4}">
    <text>Have checked and okay</text>
  </threadedComment>
  <threadedComment ref="AS78" dT="2025-12-08T11:32:19.85" personId="{BAA1B8CF-6869-42EE-8BDA-0BD94C78970E}" id="{3A259325-CDC4-4078-9416-90CD902824D1}" parentId="{C2489932-2121-4732-B8D3-FA5EA84519B4}">
    <text>Added to calculations sheet</text>
  </threadedComment>
  <threadedComment ref="AS79" dT="2025-11-24T16:52:56.13" personId="{DA9619AC-8416-4265-8990-FD11931F31BB}" id="{3EECF707-C777-46A3-B5EA-61F7922E147B}" done="1">
    <text>I can’t see this calculation</text>
  </threadedComment>
  <threadedComment ref="AS79" dT="2025-11-26T13:41:50.44" personId="{9593CD56-7F84-4728-9BC0-6D79A344ADEB}" id="{6EB60EE3-5A55-41CD-AB37-BB16392D0845}" parentId="{3EECF707-C777-46A3-B5EA-61F7922E147B}">
    <text>Have checked and okay</text>
  </threadedComment>
  <threadedComment ref="AW80" dT="2025-11-24T16:58:21.70" personId="{DA9619AC-8416-4265-8990-FD11931F31BB}" id="{77BC194E-FDB5-46DC-AA61-55B0418E3CB3}" done="1">
    <text>I can’t see this calculation</text>
  </threadedComment>
  <threadedComment ref="AW80" dT="2025-11-26T13:43:49.11" personId="{9593CD56-7F84-4728-9BC0-6D79A344ADEB}" id="{0DBB9299-C393-4397-A51E-A93328DFCE58}" parentId="{77BC194E-FDB5-46DC-AA61-55B0418E3CB3}">
    <text>Have checked and okay</text>
  </threadedComment>
  <threadedComment ref="AW80" dT="2025-12-08T11:44:34.89" personId="{BAA1B8CF-6869-42EE-8BDA-0BD94C78970E}" id="{2B73BC33-DA47-441C-8ED9-CF7DF4D50B4A}" parentId="{77BC194E-FDB5-46DC-AA61-55B0418E3CB3}">
    <text>Added to sheet</text>
  </threadedComment>
  <threadedComment ref="BF81" dT="2025-11-24T17:02:24.97" personId="{DA9619AC-8416-4265-8990-FD11931F31BB}" id="{85C302E1-2C1C-46F9-B7A0-FABE6768C61C}" done="1">
    <text>And community (Mafinga vs Ilula)</text>
  </threadedComment>
  <threadedComment ref="AA83" dT="2025-11-24T17:10:23.19" personId="{DA9619AC-8416-4265-8990-FD11931F31BB}" id="{1CEAAF1E-B41A-4566-8060-116802F4463D}" done="1">
    <text>“Experienced sexual violence past 12 months”</text>
  </threadedComment>
  <threadedComment ref="AA83" dT="2025-12-08T11:49:28.10" personId="{BAA1B8CF-6869-42EE-8BDA-0BD94C78970E}" id="{710DFE3F-5784-4E88-A356-A30566C891E8}" parentId="{1CEAAF1E-B41A-4566-8060-116802F4463D}">
    <text>Past 12 months goes into time frame column - have updated other text</text>
  </threadedComment>
  <threadedComment ref="AB83" dT="2025-11-24T17:10:23.19" personId="{DA9619AC-8416-4265-8990-FD11931F31BB}" id="{53A7E680-F8BF-4EC3-AE4D-BFA1F5738B38}" done="1">
    <text>“Experienced sexual violence past 12 months”</text>
  </threadedComment>
  <threadedComment ref="BF87" dT="2025-11-24T18:03:14.07" personId="{DA9619AC-8416-4265-8990-FD11931F31BB}" id="{87331448-9FF2-4735-A1DE-DDAC8176DA6A}" done="1">
    <text>+ Income</text>
  </threadedComment>
  <threadedComment ref="AS88" dT="2025-11-24T18:06:58.26" personId="{DA9619AC-8416-4265-8990-FD11931F31BB}" id="{0407986C-6552-4436-87DF-83BF9B64F034}" done="1">
    <text>I can’t see this calculation</text>
  </threadedComment>
  <threadedComment ref="AS88" dT="2025-11-26T13:45:50.28" personId="{9593CD56-7F84-4728-9BC0-6D79A344ADEB}" id="{0FE8D82C-08EA-4218-8B8E-B97A67133D7D}" parentId="{0407986C-6552-4436-87DF-83BF9B64F034}">
    <text>Have checked and okay</text>
  </threadedComment>
  <threadedComment ref="AS88" dT="2025-12-08T11:53:38.05" personId="{BAA1B8CF-6869-42EE-8BDA-0BD94C78970E}" id="{28848B50-C1B2-4FD2-BA2F-D9CD8012BDBF}" parentId="{0407986C-6552-4436-87DF-83BF9B64F034}">
    <text>Have added to calculation sheet</text>
  </threadedComment>
  <threadedComment ref="AA89" dT="2025-11-24T18:09:25.19" personId="{DA9619AC-8416-4265-8990-FD11931F31BB}" id="{F1DDB870-5A92-4665-AE17-30CCBEB95F61}" done="1">
    <text>For Jack to check whether this meets the inclusion criteria for violence:
“To measure economic abuse, enrolled women were asked 12 questions about whether a current or past sex partner had ever hurt them financially since the start of their relationship based on the following items: (i) made you ask them for money; (ii) demanded to know how money was spent; (iii) demanded that you give them receipts and/or change when money was spent; (iv) kept financial information from you; (v) made important financial decisions without talking with you first; (vi) threatened to make you leave job/work; (vii) demanded that you quit your job/work; (viii) beat you up if you said you needed to go to work; (ix) did things to keep you from going to your job/work; (x) spent money you needed for rent and other bills; (xi) paid bills late or not pay bills that were in your name or both of your names; and (xii) borrowed money or purchased things on credit under your name.”</text>
  </threadedComment>
  <threadedComment ref="AA89" dT="2025-11-26T13:46:39.24" personId="{9593CD56-7F84-4728-9BC0-6D79A344ADEB}" id="{4FFD67FF-F5D1-462E-BFA7-B8D0F16EE821}" parentId="{F1DDB870-5A92-4665-AE17-30CCBEB95F61}">
    <text>I think its okay - obviously a different type of violence though</text>
  </threadedComment>
  <threadedComment ref="AF89" dT="2025-11-24T18:10:41.33" personId="{DA9619AC-8416-4265-8990-FD11931F31BB}" id="{A91EA91B-AED3-4AAF-BE73-8AED5A5BABDA}" done="1">
    <text>This is the N that HIV+</text>
  </threadedComment>
  <threadedComment ref="AI89" dT="2025-11-24T18:15:03.23" personId="{DA9619AC-8416-4265-8990-FD11931F31BB}" id="{64222D56-E2E3-42C3-BEAD-BD567EF36D2D}" done="1">
    <text>This is among self-reported HIV+ so exclude?</text>
  </threadedComment>
  <threadedComment ref="AI89" dT="2025-12-09T14:23:41.19" personId="{BAA1B8CF-6869-42EE-8BDA-0BD94C78970E}" id="{73835A47-31BB-4E90-90F8-6CB71EEEEC95}" parentId="{64222D56-E2E3-42C3-BEAD-BD567EF36D2D}">
    <text>No we are including self reported HIV for ART</text>
  </threadedComment>
  <threadedComment ref="AS89" dT="2025-11-24T18:18:31.73" personId="{DA9619AC-8416-4265-8990-FD11931F31BB}" id="{1F504642-1FF8-4368-A3FB-C6AF705CD06C}" done="1">
    <text>I can’t see these calculations</text>
  </threadedComment>
  <threadedComment ref="AS89" dT="2025-11-26T13:50:41.58" personId="{9593CD56-7F84-4728-9BC0-6D79A344ADEB}" id="{DD8294A6-034A-409A-8CDF-BA5E49F4B070}" parentId="{1F504642-1FF8-4368-A3FB-C6AF705CD06C}">
    <text>In table 5 - looks okay to me</text>
  </threadedComment>
  <threadedComment ref="AS89" dT="2025-12-09T14:24:28.80" personId="{BAA1B8CF-6869-42EE-8BDA-0BD94C78970E}" id="{8EA47729-67FD-41B7-ACFD-2BD05D14F9D9}" parentId="{1F504642-1FF8-4368-A3FB-C6AF705CD06C}">
    <text>Not calculated, included in manuscript</text>
  </threadedComment>
  <threadedComment ref="L91" dT="2025-11-24T18:15:52.57" personId="{DA9619AC-8416-4265-8990-FD11931F31BB}" id="{740530F5-1E44-4EC9-8957-0A37537A8910}" done="1">
    <text>“Among HIV-negative WESW, tested for HIV in last 90 days” N=350</text>
  </threadedComment>
  <threadedComment ref="K93" dT="2026-06-18T11:50:14.48" personId="{BAA1B8CF-6869-42EE-8BDA-0BD94C78970E}" id="{F8365229-FDA6-445E-A511-CA9DA0302956}">
    <text>Calculated from findings</text>
  </threadedComment>
  <threadedComment ref="L93" dT="2026-06-18T11:41:45.10" personId="{BAA1B8CF-6869-42EE-8BDA-0BD94C78970E}" id="{1ECF3806-6C46-49A6-BC49-D27206E7968F}">
    <text>Calculated from table 2</text>
  </threadedComment>
  <threadedComment ref="Y93" dT="2026-06-18T11:41:28.46" personId="{BAA1B8CF-6869-42EE-8BDA-0BD94C78970E}" id="{4BAFCA35-A9E5-45DB-8CA9-5E776224C5CA}">
    <text>Calculated from table 2, in calculations tab</text>
  </threadedComment>
  <threadedComment ref="AS93" dT="2026-06-18T11:40:52.37" personId="{BAA1B8CF-6869-42EE-8BDA-0BD94C78970E}" id="{3A0903AB-7DEC-4CC9-A9A4-43918881D16A}">
    <text>I used Table 3 for this estimate because there isn't one for all four survey years in Table 4</text>
  </threadedComment>
  <threadedComment ref="AS93" dT="2026-06-22T11:47:56.67" personId="{DA9619AC-8416-4265-8990-FD11931F31BB}" id="{9342D9F5-6DBE-4793-9713-3B9C4DAE9075}" parentId="{3A0903AB-7DEC-4CC9-A9A4-43918881D16A}">
    <text>I think this is a coefficient not an OR as some others in the table are negative</text>
  </threadedComment>
  <threadedComment ref="AT93" dT="2026-06-18T11:41:09.72" personId="{BAA1B8CF-6869-42EE-8BDA-0BD94C78970E}" id="{15FE056E-E24B-4EC4-B2DD-C78E40AF518D}">
    <text>Calculated from P-value, in calculations tab</text>
  </threadedComment>
  <threadedComment ref="BB93" dT="2026-06-18T11:40:52.37" personId="{BAA1B8CF-6869-42EE-8BDA-0BD94C78970E}" id="{E02D1C30-72C5-4266-B22C-1ED76C9B5F67}">
    <text>I used Table 3 for this estimate because there isn't one for all four survey years in Table 4</text>
  </threadedComment>
  <threadedComment ref="BB93" dT="2026-06-22T11:47:56.67" personId="{DA9619AC-8416-4265-8990-FD11931F31BB}" id="{D6D5D9FF-6C20-447B-84E2-74F469B171C9}" parentId="{E02D1C30-72C5-4266-B22C-1ED76C9B5F67}">
    <text>I think this is a coefficient not an OR as some others in the table are negative</text>
  </threadedComment>
  <threadedComment ref="BC93" dT="2026-06-18T11:41:09.72" personId="{BAA1B8CF-6869-42EE-8BDA-0BD94C78970E}" id="{41287443-1D31-4765-90F9-3B0357988A4D}">
    <text>Calculated from P-value, in calculations tab</text>
  </threadedComment>
  <threadedComment ref="K94" dT="2026-06-18T11:50:14.48" personId="{BAA1B8CF-6869-42EE-8BDA-0BD94C78970E}" id="{C8406371-FB19-49AD-8309-9663317975D6}">
    <text>Calculated from findings</text>
  </threadedComment>
  <threadedComment ref="Y94" dT="2026-06-18T11:41:28.46" personId="{BAA1B8CF-6869-42EE-8BDA-0BD94C78970E}" id="{B6B6C9E8-8507-48AC-B932-985C8A4B8A8E}">
    <text>Calculated from table 2, in calculations tab</text>
  </threadedComment>
  <threadedComment ref="AS94" dT="2026-06-18T11:57:13.35" personId="{BAA1B8CF-6869-42EE-8BDA-0BD94C78970E}" id="{4A5323FA-F003-433B-8E5A-975205043F63}">
    <text>Calculated from table 4</text>
  </threadedComment>
  <threadedComment ref="AS94" dT="2026-06-22T11:46:31.42" personId="{DA9619AC-8416-4265-8990-FD11931F31BB}" id="{01570DF1-8CE2-4AA7-B42E-8FFFE3765AE5}" parentId="{4A5323FA-F003-433B-8E5A-975205043F63}">
    <text>I think this is a coefficient not an OR as some others in the table are negative</text>
  </threadedComment>
  <threadedComment ref="BB94" dT="2026-06-18T11:57:13.35" personId="{BAA1B8CF-6869-42EE-8BDA-0BD94C78970E}" id="{A192387C-B572-4272-B8F0-840E58F0843A}">
    <text>Calculated from table 4</text>
  </threadedComment>
  <threadedComment ref="BB94" dT="2026-06-22T11:46:31.42" personId="{DA9619AC-8416-4265-8990-FD11931F31BB}" id="{26228E5A-5ACB-44D4-B415-5D22FC771B6D}" parentId="{A192387C-B572-4272-B8F0-840E58F0843A}">
    <text>I think this is a coefficient not an OR as some others in the table are negative</text>
  </threadedComment>
  <threadedComment ref="L95" dT="2025-11-25T08:30:41.37" personId="{DA9619AC-8416-4265-8990-FD11931F31BB}" id="{A1C9E7CC-B5DA-4100-939F-CA2D96109959}" done="1">
    <text>I can’t see why this would be 6349 rather than 6665</text>
  </threadedComment>
  <threadedComment ref="U95" dT="2026-06-24T09:34:23.91" personId="{BAA1B8CF-6869-42EE-8BDA-0BD94C78970E}" id="{E3C49439-4CE0-4914-8A05-C197153AB85E}">
    <text>https://link.springer.com/article/10.1186/s13063-015-1095-1#Sec3</text>
    <extLst>
      <x:ext xmlns:xltc2="http://schemas.microsoft.com/office/spreadsheetml/2020/threadedcomments2" uri="{F7C98A9C-CBB3-438F-8F68-D28B6AF4A901}">
        <xltc2:checksum>1612104525</xltc2:checksum>
        <xltc2:hyperlink startIndex="0" length="64" url="https://link.springer.com/article/10.1186/s13063-015-1095-1#Sec3"/>
      </x:ext>
    </extLst>
  </threadedComment>
  <threadedComment ref="BF96" dT="2025-11-25T08:43:16.35" personId="{DA9619AC-8416-4265-8990-FD11931F31BB}" id="{1528D086-EBFF-425B-8127-14D43A4FCA75}" done="1">
    <text>Alcohol use, STIs, type of sexual intercourse</text>
  </threadedComment>
  <threadedComment ref="AT97" dT="2025-11-25T08:51:31.07" personId="{DA9619AC-8416-4265-8990-FD11931F31BB}" id="{8ACDB039-CDBB-4733-A5E0-9AA0C2B17159}" done="1">
    <text>I can’t see how the intervals were calculated - the point estimate is just from division</text>
  </threadedComment>
  <threadedComment ref="AT97" dT="2025-11-26T13:55:47.04" personId="{9593CD56-7F84-4728-9BC0-6D79A344ADEB}" id="{CC9B3577-1646-45B7-A5F8-5824E94F215E}" parentId="{8ACDB039-CDBB-4733-A5E0-9AA0C2B17159}">
    <text>Yes - I agree this looks difficult because based on recent HIV infection markers. Josh can you confirm how this was done</text>
  </threadedComment>
  <threadedComment ref="AT97" dT="2025-12-09T15:38:55.60" personId="{BAA1B8CF-6869-42EE-8BDA-0BD94C78970E}" id="{93FE59E8-F914-4F83-A9E9-61C01DADF2C8}" parentId="{8ACDB039-CDBB-4733-A5E0-9AA0C2B17159}">
    <text>In the sheet now</text>
  </threadedComment>
  <threadedComment ref="AX97" dT="2025-11-25T08:51:31.07" personId="{DA9619AC-8416-4265-8990-FD11931F31BB}" id="{11FA9E90-3515-425E-AD92-9BF9BDD20D6E}" done="1">
    <text>I can’t see how the intervals were calculated - the point estimate is just from division</text>
  </threadedComment>
  <threadedComment ref="AX97" dT="2025-11-26T13:55:47.04" personId="{9593CD56-7F84-4728-9BC0-6D79A344ADEB}" id="{5E3D05E5-D843-47BF-BE1A-87E805DB2AF5}" parentId="{11FA9E90-3515-425E-AD92-9BF9BDD20D6E}">
    <text>Yes - I agree this looks difficult because based on recent HIV infection markers. Josh can you confirm how this was done</text>
  </threadedComment>
  <threadedComment ref="L98" dT="2025-11-25T09:02:51.71" personId="{DA9619AC-8416-4265-8990-FD11931F31BB}" id="{04074DF0-EF25-4E4E-8FEA-DBE7FE336D9B}" done="1">
    <text>702+146=848 (Lae)</text>
  </threadedComment>
  <threadedComment ref="O98" dT="2025-11-25T08:58:54.02" personId="{DA9619AC-8416-4265-8990-FD11931F31BB}" id="{D20FB174-7529-4C30-B39B-C75E6854A887}" done="1">
    <text>Lae</text>
  </threadedComment>
  <threadedComment ref="X98" dT="2025-11-25T09:03:44.34" personId="{DA9619AC-8416-4265-8990-FD11931F31BB}" id="{695837DB-5992-47E9-9D4F-284399F1186A}" done="1">
    <text>83 (Lae)</text>
  </threadedComment>
  <threadedComment ref="Y98" dT="2025-11-25T09:05:12.80" personId="{DA9619AC-8416-4265-8990-FD11931F31BB}" id="{56079877-A47D-4CCF-97DB-06130DFBDB1B}" done="1">
    <text>83/(83+704)=0.105</text>
  </threadedComment>
  <threadedComment ref="AF98" dT="2025-11-25T09:06:07.56" personId="{DA9619AC-8416-4265-8990-FD11931F31BB}" id="{827AE5A7-61F8-4BE3-B383-A8EEBC7A1471}" done="1">
    <text>146</text>
  </threadedComment>
  <threadedComment ref="AG98" dT="2025-11-25T09:06:43.68" personId="{DA9619AC-8416-4265-8990-FD11931F31BB}" id="{9FB4E436-2C8C-4481-971F-5E116E7BE7E8}" done="1">
    <text>146/(146+702)=0.172</text>
  </threadedComment>
  <threadedComment ref="L99" dT="2025-11-25T09:02:01.67" personId="{DA9619AC-8416-4265-8990-FD11931F31BB}" id="{3D586203-9826-4304-9589-565DC5AFFA87}" done="1">
    <text>604+109=713 (Port Moresby)</text>
  </threadedComment>
  <threadedComment ref="O99" dT="2025-11-25T08:59:20.17" personId="{DA9619AC-8416-4265-8990-FD11931F31BB}" id="{59812407-2859-4D35-BAEE-4BDDED96B821}" done="1">
    <text>Port Moresby</text>
  </threadedComment>
  <threadedComment ref="X99" dT="2025-11-25T09:03:35.12" personId="{DA9619AC-8416-4265-8990-FD11931F31BB}" id="{C4A977DA-FF80-4230-A796-514A45144CAB}" done="1">
    <text>94 (Port Moresby)</text>
  </threadedComment>
  <threadedComment ref="Y99" dT="2025-11-25T09:04:30.87" personId="{DA9619AC-8416-4265-8990-FD11931F31BB}" id="{75DB227A-C8B2-44A8-908E-34650ACBEA70}" done="1">
    <text>94/(663+94)=0.124</text>
  </threadedComment>
  <threadedComment ref="AS99" dT="2025-11-25T09:10:39.59" personId="{DA9619AC-8416-4265-8990-FD11931F31BB}" id="{F5DE1795-3C7A-4348-8CA3-F5CFA09F03A1}" done="1">
    <text>Confusingly, in the table in the paper, they seem to be saying that the reference group for this s those with Sexual violence and the OR is for those without. I think this is probably just a mistake as the tables are sloppy</text>
  </threadedComment>
  <threadedComment ref="AS99" dT="2025-12-09T16:02:35.01" personId="{BAA1B8CF-6869-42EE-8BDA-0BD94C78970E}" id="{AA48A249-8DC7-4276-8778-F9F2A4AB6C18}" parentId="{F5DE1795-3C7A-4348-8CA3-F5CFA09F03A1}">
    <text>I think it’s a mistake too</text>
  </threadedComment>
  <threadedComment ref="L101" dT="2025-11-25T09:23:51.71" personId="{DA9619AC-8416-4265-8990-FD11931F31BB}" id="{4AA17C25-1DE5-4E79-A212-C748DB16EBD2}" done="1">
    <text>62</text>
  </threadedComment>
  <threadedComment ref="X101" dT="2025-11-25T09:24:00.82" personId="{DA9619AC-8416-4265-8990-FD11931F31BB}" id="{1BC3CFE0-F3C0-49A9-99F4-D9B5A2CB01DD}" done="1">
    <text>62</text>
  </threadedComment>
  <threadedComment ref="Y101" dT="2025-11-25T09:24:09.12" personId="{DA9619AC-8416-4265-8990-FD11931F31BB}" id="{C70356AC-C1B6-4DD9-A6F9-56EFE935AACB}" done="1">
    <text>1</text>
  </threadedComment>
  <threadedComment ref="AF101" dT="2025-11-25T09:24:41.84" personId="{DA9619AC-8416-4265-8990-FD11931F31BB}" id="{4456DB79-8903-4795-96BE-9C03CE7D33BB}" done="1">
    <text>39</text>
  </threadedComment>
  <threadedComment ref="AG101" dT="2025-11-25T09:24:58.41" personId="{DA9619AC-8416-4265-8990-FD11931F31BB}" id="{D829F8F4-6195-4F19-8103-04069C2B2E9E}" done="1">
    <text>.679</text>
  </threadedComment>
  <threadedComment ref="BB103" dT="2025-11-25T09:34:37.68" personId="{DA9619AC-8416-4265-8990-FD11931F31BB}" id="{58E43EF2-63F1-47B2-96FC-C274232BDF95}" done="1">
    <text>Not useable, HIV was not outcome in adjusted model.</text>
  </threadedComment>
  <threadedComment ref="BB103" dT="2025-12-09T16:22:15.95" personId="{BAA1B8CF-6869-42EE-8BDA-0BD94C78970E}" id="{62694260-6E74-4E2B-9372-65A721AA0C32}" parentId="{58E43EF2-63F1-47B2-96FC-C274232BDF95}">
    <text>Ok fair</text>
  </threadedComment>
  <threadedComment ref="Y109" dT="2026-06-18T12:16:36.41" personId="{BAA1B8CF-6869-42EE-8BDA-0BD94C78970E}" id="{2BAB1C08-9271-48E8-B6EA-22009961F54A}">
    <text>The table is confusing but I am pretty sure the denominator of 676 is the number of PLHIV, and 371 is the number of those who experienced PV, so that is how I did the calculations in the sheet</text>
  </threadedComment>
  <threadedComment ref="AQ109" dT="2026-06-18T12:20:51.17" personId="{BAA1B8CF-6869-42EE-8BDA-0BD94C78970E}" id="{50BE63C0-2CDC-484C-BD4D-C31C54D2E2E9}">
    <text>NOTE: outcome in the adjusted model is violence so it is not extracted, instead I calculate ORs manually</text>
  </threadedComment>
  <threadedComment ref="Y110" dT="2026-06-18T12:16:36.41" personId="{BAA1B8CF-6869-42EE-8BDA-0BD94C78970E}" id="{CE419B0D-F3F4-4AAC-A8D3-97E0D4EEF82D}">
    <text>The table is confusing but I am pretty sure the denominator of 676 is the number of PLHIV, and 371 is the number of those who experienced PV, so that is how I did the calculations in the sheet</text>
  </threadedComment>
  <threadedComment ref="AQ110" dT="2026-06-18T12:20:51.17" personId="{BAA1B8CF-6869-42EE-8BDA-0BD94C78970E}" id="{8C1B2472-79C1-4807-A2C1-F233EDAE3F0F}">
    <text>NOTE: outcome in the adjusted model is violence so it is not extracted, instead I calculate ORs manually</text>
  </threadedComment>
  <threadedComment ref="Y111" dT="2026-06-18T12:16:36.41" personId="{BAA1B8CF-6869-42EE-8BDA-0BD94C78970E}" id="{432F2EE7-FB71-4F6B-B4E6-EEA7C6D923F0}">
    <text>The table is confusing but I am pretty sure the denominator of 676 is the number of PLHIV, and 371 is the number of those who experienced PV, so that is how I did the calculations in the sheet</text>
  </threadedComment>
  <threadedComment ref="Z111" dT="2026-06-18T12:35:56.36" personId="{BAA1B8CF-6869-42EE-8BDA-0BD94C78970E}" id="{C2866890-0D40-4B1C-B81E-81FDA2BE63F4}">
    <text>I extracted this data for Belinda because I AM A GR8 GUY</text>
  </threadedComment>
  <threadedComment ref="AQ111" dT="2026-06-18T12:20:51.17" personId="{BAA1B8CF-6869-42EE-8BDA-0BD94C78970E}" id="{2087F5FD-9E78-4973-BC9C-24BEE706695D}">
    <text>NOTE: outcome in the adjusted model is violence so it is not extracted, instead I calculate ORs manually</text>
  </threadedComment>
  <threadedComment ref="L112" dT="2025-11-25T11:25:38.11" personId="{DA9619AC-8416-4265-8990-FD11931F31BB}" id="{AE0B9FF2-A8F9-44EE-96BF-A77B61D12DA8}" done="1">
    <text>453 “Living with HIV” table 4</text>
  </threadedComment>
  <threadedComment ref="BB112" dT="2025-11-25T09:53:58.37" personId="{DA9619AC-8416-4265-8990-FD11931F31BB}" id="{34CB3925-8D93-473E-AE72-BB45AB11435B}" done="1">
    <text>Not useable, HIV was not outcome in adjusted model.</text>
  </threadedComment>
  <threadedComment ref="BB112" dT="2025-12-09T16:25:16.35" personId="{BAA1B8CF-6869-42EE-8BDA-0BD94C78970E}" id="{E5B47665-DEC0-4DCD-8BD0-9BF20B0F7A77}" parentId="{34CB3925-8D93-473E-AE72-BB45AB11435B}">
    <text>ok</text>
  </threadedComment>
  <threadedComment ref="L113" dT="2025-11-25T11:24:10.31" personId="{DA9619AC-8416-4265-8990-FD11931F31BB}" id="{6B0D38DB-8812-4147-8FA9-F01465132932}" done="1">
    <text>453 “Living with HIV” table 4</text>
  </threadedComment>
  <threadedComment ref="L114" dT="2025-11-25T11:24:53.13" personId="{DA9619AC-8416-4265-8990-FD11931F31BB}" id="{C9B78CB0-D806-48C0-AD9B-84EF2C8A0988}" done="1">
    <text>462 “Ever tested for HIV” table 4</text>
  </threadedComment>
  <threadedComment ref="L115" dT="2025-11-25T11:23:52.21" personId="{DA9619AC-8416-4265-8990-FD11931F31BB}" id="{D67639CC-A123-41EA-9BF6-0A796AAF68CD}" done="1">
    <text>462 “Ever tested for HIV” table 4</text>
  </threadedComment>
  <threadedComment ref="A118" dT="2025-11-21T15:35:36.47" personId="{9593CD56-7F84-4728-9BC0-6D79A344ADEB}" id="{B209DF1E-B64C-4C81-A700-7874271C29CF}" done="1">
    <text>Check if results for SW who are TGW are extracted?</text>
  </threadedComment>
  <threadedComment ref="A118" dT="2025-11-25T12:28:42.95" personId="{DA9619AC-8416-4265-8990-FD11931F31BB}" id="{D893E5F1-E034-43C1-8A3B-82CDB22EC519}" parentId="{B209DF1E-B64C-4C81-A700-7874271C29CF}">
    <text>There’s a Maclin study in the TGW spreadsheet</text>
  </threadedComment>
  <threadedComment ref="A118" dT="2025-11-26T13:29:10.01" personId="{9593CD56-7F84-4728-9BC0-6D79A344ADEB}" id="{BC621792-E138-4024-9A71-0C276589B392}" parentId="{B209DF1E-B64C-4C81-A700-7874271C29CF}">
    <text>Have the TGW estimates been extracted for this study though? Josh can you check? You had included TGW estimates in the batch I had reviewed</text>
  </threadedComment>
  <threadedComment ref="A118" dT="2025-12-09T18:29:13.28" personId="{BAA1B8CF-6869-42EE-8BDA-0BD94C78970E}" id="{864E3229-F2D8-444B-93DC-540D0EEF5AB2}" parentId="{B209DF1E-B64C-4C81-A700-7874271C29CF}">
    <text>I have now included it but it was a fucking nightmare</text>
  </threadedComment>
  <threadedComment ref="AB118" dT="2025-11-25T12:32:39.77" personId="{DA9619AC-8416-4265-8990-FD11931F31BB}" id="{8D8F90F0-9297-401B-A1D6-EEEB81526CF3}" done="1">
    <text>Sex Work-related Police Harassment</text>
  </threadedComment>
  <threadedComment ref="AB119" dT="2025-11-25T12:32:39.77" personId="{DA9619AC-8416-4265-8990-FD11931F31BB}" id="{DEA8A383-C541-4D0B-A78F-12036AAE8512}" done="1">
    <text>Sex Work-related Police Harassment</text>
  </threadedComment>
  <threadedComment ref="AJ119" dT="2025-11-25T12:48:54.19" personId="{DA9619AC-8416-4265-8990-FD11931F31BB}" id="{429544E2-8BD1-4B63-84B5-32310E79335E}" done="1">
    <text>Perfect adherence vs not perfect adherence</text>
  </threadedComment>
  <threadedComment ref="AB120" dT="2025-11-25T12:32:39.77" personId="{DA9619AC-8416-4265-8990-FD11931F31BB}" id="{E2F8C200-3BCB-47A9-A2DB-6C3F846B8735}" done="1">
    <text>Sex Work-related Police Harassment</text>
  </threadedComment>
  <threadedComment ref="AB121" dT="2025-11-25T12:32:39.77" personId="{DA9619AC-8416-4265-8990-FD11931F31BB}" id="{71A1B3B3-D0CD-4788-AC40-16B8FF7AC978}" done="1">
    <text>Sex Work-related Police Harassment</text>
  </threadedComment>
  <threadedComment ref="AJ121" dT="2025-11-25T12:48:54.19" personId="{DA9619AC-8416-4265-8990-FD11931F31BB}" id="{CA2CEE52-4153-4CA5-BF2A-5361EBF0964F}" done="1">
    <text>Perfect adherence vs not perfect adherence</text>
  </threadedComment>
  <threadedComment ref="AJ123" dT="2025-11-25T12:48:54.19" personId="{DA9619AC-8416-4265-8990-FD11931F31BB}" id="{65FBC01D-02C4-4C16-9686-9D9937977593}" done="1">
    <text>Perfect adherence vs not perfect adherence</text>
  </threadedComment>
  <threadedComment ref="AB124" dT="2025-11-25T12:32:39.77" personId="{DA9619AC-8416-4265-8990-FD11931F31BB}" id="{9D9176CC-8229-4E90-98FB-5D639D13FE3B}" done="1">
    <text>Sex Work-related Police Harassment</text>
  </threadedComment>
  <threadedComment ref="AB125" dT="2025-11-25T12:32:39.77" personId="{DA9619AC-8416-4265-8990-FD11931F31BB}" id="{274AF3CE-36B7-4CFF-AC14-5C73AEED4EFC}" done="1">
    <text>Sex Work-related Police Harassment</text>
  </threadedComment>
  <threadedComment ref="AB127" dT="2025-11-25T12:32:39.77" personId="{DA9619AC-8416-4265-8990-FD11931F31BB}" id="{60E9D400-6CF3-41EA-B53B-47CFAE4CEDBC}" done="1">
    <text>Sex Work-related Police Harassment</text>
  </threadedComment>
  <threadedComment ref="AB128" dT="2025-11-25T12:32:39.77" personId="{DA9619AC-8416-4265-8990-FD11931F31BB}" id="{DB4B3011-40BD-4C09-A179-9EF77958AB82}" done="1">
    <text>Sex Work-related Police Harassment</text>
  </threadedComment>
  <threadedComment ref="AW151" dT="2025-11-25T13:05:01.39" personId="{DA9619AC-8416-4265-8990-FD11931F31BB}" id="{8E842826-8B10-4769-824D-EBFD3A1A91C1}" done="1">
    <text>Presumably calculated using info stored in Calculations spreadsheet, although calculation not shown</text>
  </threadedComment>
  <threadedComment ref="AW151" dT="2025-11-26T14:06:06.94" personId="{9593CD56-7F84-4728-9BC0-6D79A344ADEB}" id="{8E513A26-A656-4BD4-B115-5AB976F0DCB2}" parentId="{8E842826-8B10-4769-824D-EBFD3A1A91C1}">
    <text>Checked an looks okay</text>
  </threadedComment>
  <threadedComment ref="AW151" dT="2025-12-09T19:48:45.41" personId="{BAA1B8CF-6869-42EE-8BDA-0BD94C78970E}" id="{374B3F85-0C56-4A6B-925A-D56068A8E765}" parentId="{8E842826-8B10-4769-824D-EBFD3A1A91C1}">
    <text>Added calcs</text>
  </threadedComment>
  <threadedComment ref="L154" dT="2025-11-25T13:16:41.02" personId="{DA9619AC-8416-4265-8990-FD11931F31BB}" id="{4A687737-06EC-429D-9805-0365E0A2BF90}" done="1">
    <text>715</text>
  </threadedComment>
  <threadedComment ref="L155" dT="2025-11-25T13:16:37.42" personId="{DA9619AC-8416-4265-8990-FD11931F31BB}" id="{1CE82485-FDD1-4461-8069-AB9D91225EEB}" done="1">
    <text>715</text>
  </threadedComment>
  <threadedComment ref="AW155" dT="2025-11-25T13:16:18.55" personId="{DA9619AC-8416-4265-8990-FD11931F31BB}" id="{99A903AC-01DA-4D9A-BAA8-D8D30BFD3546}" done="1">
    <text>Prevalence ratios are reported, but these are ORs, so I presume a transformation has been done</text>
  </threadedComment>
  <threadedComment ref="AW155" dT="2025-11-26T14:11:16.69" personId="{9593CD56-7F84-4728-9BC0-6D79A344ADEB}" id="{05727FA5-0EFF-4645-B8E3-44B83672369D}" parentId="{99A903AC-01DA-4D9A-BAA8-D8D30BFD3546}">
    <text>Checked and looks okay.</text>
  </threadedComment>
  <threadedComment ref="L156" dT="2025-11-25T13:22:48.10" personId="{DA9619AC-8416-4265-8990-FD11931F31BB}" id="{D6FD9F89-6095-4830-A6DC-EA66CDF20738}" done="1">
    <text>1112</text>
  </threadedComment>
  <threadedComment ref="AA157" dT="2025-11-25T13:27:15.75" personId="{DA9619AC-8416-4265-8990-FD11931F31BB}" id="{D465EF16-D869-4680-90FE-93E80DA3CB94}" done="1">
    <text>Same here</text>
  </threadedComment>
  <threadedComment ref="AA157" dT="2025-12-09T19:51:27.73" personId="{BAA1B8CF-6869-42EE-8BDA-0BD94C78970E}" id="{64622E01-FDD0-4A95-9323-F2601A4CEF39}" parentId="{D465EF16-D869-4680-90FE-93E80DA3CB94}">
    <text>fair</text>
  </threadedComment>
  <threadedComment ref="AA158" dT="2025-11-25T13:26:46.11" personId="{DA9619AC-8416-4265-8990-FD11931F31BB}" id="{17DD3B48-E264-469A-A534-3E2ABF624998}" done="1">
    <text>I’m not clear about which exposure variable for sexual violence was used in the model - there are many mentioned</text>
  </threadedComment>
  <threadedComment ref="AA158" dT="2025-12-09T19:51:33.97" personId="{BAA1B8CF-6869-42EE-8BDA-0BD94C78970E}" id="{EE330C35-BF45-4B9E-ACC7-A54DF8C7ED28}" parentId="{17DD3B48-E264-469A-A534-3E2ABF624998}">
    <text xml:space="preserve">Fair I changed to SV
</text>
  </threadedComment>
  <threadedComment ref="AB158" dT="2025-11-25T13:26:46.11" personId="{DA9619AC-8416-4265-8990-FD11931F31BB}" id="{58AB08CE-BBD5-4288-981D-89C926AC4813}" done="1">
    <text>I’m not clear about which exposure variable for sexual violence was used in the model - there are many mentioned</text>
  </threadedComment>
  <threadedComment ref="AB158" dT="2025-12-09T19:50:54.50" personId="{BAA1B8CF-6869-42EE-8BDA-0BD94C78970E}" id="{7DEF63F6-2274-43A6-BAEB-819B44474EDC}" parentId="{58AB08CE-BBD5-4288-981D-89C926AC4813}">
    <text>Fair, I think it’s just sexual violence</text>
  </threadedComment>
  <threadedComment ref="AS159" dT="2025-11-25T13:31:25.25" personId="{DA9619AC-8416-4265-8990-FD11931F31BB}" id="{47C4911D-2F75-466A-B4BA-3C22D2A8ABBD}" done="1">
    <text>Calculations not actually shown in the Calculations spreadsheet despite there being the info there to calculate the OR</text>
  </threadedComment>
  <threadedComment ref="AS159" dT="2025-11-26T14:20:13.75" personId="{9593CD56-7F84-4728-9BC0-6D79A344ADEB}" id="{792B0B29-EA1B-4090-848B-2FBD5C4BBAB2}" parentId="{47C4911D-2F75-466A-B4BA-3C22D2A8ABBD}">
    <text>Checked and okay</text>
  </threadedComment>
  <threadedComment ref="AS159" dT="2025-12-09T19:53:11.57" personId="{BAA1B8CF-6869-42EE-8BDA-0BD94C78970E}" id="{95A01630-9770-409F-94B2-2C800E8462C6}" parentId="{47C4911D-2F75-466A-B4BA-3C22D2A8ABBD}">
    <text>Info is enough because I provided link to medcalc</text>
  </threadedComment>
  <threadedComment ref="K160" dT="2025-11-25T13:33:25.41" personId="{DA9619AC-8416-4265-8990-FD11931F31BB}" id="{940C0823-BD4D-42B3-AA35-B9392384C51E}" done="1">
    <text>603</text>
  </threadedComment>
  <threadedComment ref="A163" dT="2025-11-25T13:38:16.63" personId="{DA9619AC-8416-4265-8990-FD11931F31BB}" id="{CB69214B-C9FC-492E-B5C5-3FE2EC0C7E02}" done="1">
    <text>Unsure whether these should be included - the outcome is ART use among self-reported PLHIV</text>
  </threadedComment>
  <threadedComment ref="A163" dT="2025-12-09T19:58:26.75" personId="{BAA1B8CF-6869-42EE-8BDA-0BD94C78970E}" id="{0C7AAE42-2875-42E3-A0B1-C64CCBDE3F10}" parentId="{CB69214B-C9FC-492E-B5C5-3FE2EC0C7E02}">
    <text>We are including this</text>
  </threadedComment>
  <threadedComment ref="BB164" dT="2025-11-25T13:49:17.23" personId="{DA9619AC-8416-4265-8990-FD11931F31BB}" id="{12E2840F-7295-4957-AEF7-13C79B107C18}" done="1">
    <text>HIV is the exposure, so can’t use adjusted analyses</text>
  </threadedComment>
  <threadedComment ref="BB164" dT="2025-12-09T20:23:28.01" personId="{BAA1B8CF-6869-42EE-8BDA-0BD94C78970E}" id="{DA9270FE-4C58-48EA-AD20-99FF76F9715A}" parentId="{12E2840F-7295-4957-AEF7-13C79B107C18}">
    <text>yep</text>
  </threadedComment>
  <threadedComment ref="AA165" dT="2025-11-25T14:21:24.30" personId="{DA9619AC-8416-4265-8990-FD11931F31BB}" id="{6077D12D-0822-4C1B-A082-34FDBDF12D7D}" done="1">
    <text>It should be possible to use the results in tables 2 and 3 to create a variable for “Any violent experiences” which would be more useful than this</text>
  </threadedComment>
  <threadedComment ref="AA165" dT="2025-12-09T20:38:38.71" personId="{BAA1B8CF-6869-42EE-8BDA-0BD94C78970E}" id="{9641B70B-A34D-4810-874B-415BFFC642D9}" parentId="{6077D12D-0822-4C1B-A082-34FDBDF12D7D}">
    <text>Table 3 is condom use</text>
  </threadedComment>
  <threadedComment ref="AA165" dT="2025-12-09T20:39:18.59" personId="{BAA1B8CF-6869-42EE-8BDA-0BD94C78970E}" id="{795D1CEB-4B7D-481C-9AC3-306D54DDAF9A}" parentId="{6077D12D-0822-4C1B-A082-34FDBDF12D7D}">
    <text>Table 4 is HIV but when I include it, I get an OR of 31.51. it’s a confusing study. Let’s discuss</text>
  </threadedComment>
  <threadedComment ref="AA165" dT="2025-12-10T11:46:14.39" personId="{BAA1B8CF-6869-42EE-8BDA-0BD94C78970E}" id="{F95F61BD-0C0C-4B32-B207-C516ABA93069}" parentId="{6077D12D-0822-4C1B-A082-34FDBDF12D7D}">
    <text>Spoke to Jack and decided to keep as is because of adjusted ORs</text>
  </threadedComment>
  <threadedComment ref="X172" dT="2025-11-25T14:41:07.46" personId="{DA9619AC-8416-4265-8990-FD11931F31BB}" id="{ADBAF148-ADD0-44C3-AF0B-C5C6FC231511}" done="1">
    <text>371=(0.166*1690)+(0.256*352) (table 3)</text>
  </threadedComment>
  <threadedComment ref="Y172" dT="2025-11-25T14:41:29.89" personId="{DA9619AC-8416-4265-8990-FD11931F31BB}" id="{87CD2E86-126F-4730-B08A-00696707FC6D}" done="1">
    <text>0.182</text>
  </threadedComment>
  <threadedComment ref="AW172" dT="2025-11-25T14:43:15.89" personId="{DA9619AC-8416-4265-8990-FD11931F31BB}" id="{B4CAA7A8-6B34-4F0A-A761-6AAA51F51990}" done="1">
    <text>I can’t see this</text>
  </threadedComment>
  <threadedComment ref="AW172" dT="2025-11-26T14:27:54.78" personId="{9593CD56-7F84-4728-9BC0-6D79A344ADEB}" id="{22F072AB-DFBF-4729-945F-05D792EDC8DE}" parentId="{B4CAA7A8-6B34-4F0A-A761-6AAA51F51990}">
    <text>Checked and looks okay</text>
  </threadedComment>
  <threadedComment ref="L177" dT="2025-11-25T14:48:35.60" personId="{DA9619AC-8416-4265-8990-FD11931F31BB}" id="{46F5FAEE-282E-4AC9-BAE4-D56D2B5122BE}" done="1">
    <text>163 (table 2)</text>
  </threadedComment>
  <threadedComment ref="X177" dT="2025-11-25T14:48:59.95" personId="{DA9619AC-8416-4265-8990-FD11931F31BB}" id="{C247FFCD-4359-4DD0-B9CB-ED39232E53B7}" done="1">
    <text>163</text>
  </threadedComment>
  <threadedComment ref="Y177" dT="2025-11-25T14:49:03.53" personId="{DA9619AC-8416-4265-8990-FD11931F31BB}" id="{188C9F03-2E38-46F7-8960-661343A7455B}" done="1">
    <text>1</text>
  </threadedComment>
  <threadedComment ref="L178" dT="2025-11-25T14:58:31.13" personId="{DA9619AC-8416-4265-8990-FD11931F31BB}" id="{BCCF40DB-6D92-4C6E-9343-3CFAE9FAD913}" done="1">
    <text>249</text>
  </threadedComment>
  <threadedComment ref="L179" dT="2025-11-25T14:58:25.65" personId="{DA9619AC-8416-4265-8990-FD11931F31BB}" id="{B68461BF-A723-421C-82FF-83EB19F23351}" done="1">
    <text>249</text>
  </threadedComment>
  <threadedComment ref="L181" dT="2025-11-25T15:05:02.69" personId="{DA9619AC-8416-4265-8990-FD11931F31BB}" id="{A6F03793-B884-4A97-A831-339F6EAA4EC5}" done="1">
    <text>1295</text>
  </threadedComment>
  <threadedComment ref="AW181" dT="2025-11-25T15:04:32.37" personId="{DA9619AC-8416-4265-8990-FD11931F31BB}" id="{27F79CB6-51AC-4DF1-84B4-8DDE8BDCF5D9}" done="1">
    <text>1.09 (0.97-1.22)</text>
  </threadedComment>
  <threadedComment ref="K188" dT="2025-11-26T16:55:05.62" personId="{DA9619AC-8416-4265-8990-FD11931F31BB}" id="{FC96265B-1784-4414-A44D-8FF495448F25}" done="1">
    <text>“Data were collected on 4245 FSW recruited by respondent driven sampling (RDS).”</text>
  </threadedComment>
  <threadedComment ref="L188" dT="2025-11-26T16:55:05.62" personId="{DA9619AC-8416-4265-8990-FD11931F31BB}" id="{3FC56194-C8C0-4C5B-9B4F-885AFC6B3104}" done="1">
    <text>“Data were collected on 4245 FSW recruited by respondent driven sampling (RDS).”</text>
  </threadedComment>
  <threadedComment ref="X188" dT="2025-11-26T16:52:56.92" personId="{DA9619AC-8416-4265-8990-FD11931F31BB}" id="{B4B5594F-3597-4CB9-98BA-2DF7AE10357D}" done="1">
    <text>Back calculate from prevalence?</text>
  </threadedComment>
  <threadedComment ref="Y188" dT="2025-11-26T16:52:36.92" personId="{DA9619AC-8416-4265-8990-FD11931F31BB}" id="{11FCD21A-07F0-4BD4-B5A8-66F97F50990E}" done="1">
    <text>0.053? “HIV prevalence was estimated as 5.3% with a 95% confidence interval (CI) (4.4%–6.2%).“</text>
  </threadedComment>
  <threadedComment ref="K189" dT="2025-11-26T16:55:05.62" personId="{DA9619AC-8416-4265-8990-FD11931F31BB}" id="{238EDB2C-16AF-4812-AD1B-6A07F1561048}" done="1">
    <text>“Data were collected on 4245 FSW recruited by respondent driven sampling (RDS).”</text>
  </threadedComment>
  <threadedComment ref="L189" dT="2025-11-26T16:55:05.62" personId="{DA9619AC-8416-4265-8990-FD11931F31BB}" id="{E9D7F8BB-47CB-4D0B-B77C-B1AB387ABAC0}" done="1">
    <text>“Data were collected on 4245 FSW recruited by respondent driven sampling (RDS).”</text>
  </threadedComment>
  <threadedComment ref="X189" dT="2025-11-26T16:52:56.92" personId="{DA9619AC-8416-4265-8990-FD11931F31BB}" id="{397E0321-6508-471E-8C40-2D5D16A0D0DD}" done="1">
    <text>Back calculate from prevalence?</text>
  </threadedComment>
  <threadedComment ref="Y189" dT="2025-11-26T16:52:36.92" personId="{DA9619AC-8416-4265-8990-FD11931F31BB}" id="{586E2BF3-6B79-4E45-9DD6-696F2DA503A8}" done="1">
    <text>0.053? “HIV prevalence was estimated as 5.3% with a 95% confidence interval (CI) (4.4%–6.2%).“</text>
  </threadedComment>
  <threadedComment ref="Y196" dT="2025-11-26T17:01:54.61" personId="{DA9619AC-8416-4265-8990-FD11931F31BB}" id="{4C5CBF93-98BA-4F0A-A373-2ABD7A4802AE}" done="1">
    <text>I could only see “The adjusted prevalence of HIV was 3.2% (95% CI 1.76–5.75).“</text>
  </threadedComment>
  <threadedComment ref="Y196" dT="2025-12-10T09:23:05.08" personId="{BAA1B8CF-6869-42EE-8BDA-0BD94C78970E}" id="{849E4246-81B6-47FC-8931-0534E9FCF31A}" parentId="{4C5CBF93-98BA-4F0A-A373-2ABD7A4802AE}">
    <text>Table 1 shows 72 hiv+. Ask Jack whether we use adjusted or unadjusted</text>
  </threadedComment>
  <threadedComment ref="Y197" dT="2025-11-26T17:01:54.61" personId="{DA9619AC-8416-4265-8990-FD11931F31BB}" id="{EAC91F3F-7C39-46E7-A671-022EE9C432E8}" done="1">
    <text>I could only see “The adjusted prevalence of HIV was 3.2% (95% CI 1.76–5.75).“</text>
  </threadedComment>
  <threadedComment ref="W198" dT="2025-11-26T17:02:31.59" personId="{DA9619AC-8416-4265-8990-FD11931F31BB}" id="{D5246593-83D9-4F63-AF84-0C07CCEA2FD2}" done="1">
    <text>1</text>
  </threadedComment>
  <threadedComment ref="L200" dT="2025-11-26T17:12:07.89" personId="{DA9619AC-8416-4265-8990-FD11931F31BB}" id="{8CDBE460-13EB-43C2-A98F-F69542CBDF14}" done="1">
    <text>1906</text>
  </threadedComment>
  <threadedComment ref="L201" dT="2025-11-26T17:12:07.89" personId="{DA9619AC-8416-4265-8990-FD11931F31BB}" id="{39D94DCB-4EA2-4EAC-BC5D-638D944E5484}" done="1">
    <text>1906</text>
  </threadedComment>
  <threadedComment ref="L202" dT="2025-11-27T13:15:02.21" personId="{DA9619AC-8416-4265-8990-FD11931F31BB}" id="{A7F673B4-3951-475E-8A2D-ECE448A607F4}" done="1">
    <text>283</text>
  </threadedComment>
  <threadedComment ref="L203" dT="2025-11-27T13:15:02.21" personId="{DA9619AC-8416-4265-8990-FD11931F31BB}" id="{A1169F2E-CCC0-441D-9D11-EC542DC6F8CC}" done="1">
    <text>283</text>
  </threadedComment>
  <threadedComment ref="L204" dT="2025-11-27T13:15:02.21" personId="{DA9619AC-8416-4265-8990-FD11931F31BB}" id="{980DB0A1-3ECF-43D0-94E0-B26E593CBB30}" done="1">
    <text>283</text>
  </threadedComment>
  <threadedComment ref="L205" dT="2025-11-27T13:19:27.75" personId="{DA9619AC-8416-4265-8990-FD11931F31BB}" id="{D4214686-9E59-4893-8E65-E4AAC2797F6F}" done="1">
    <text>186</text>
  </threadedComment>
  <threadedComment ref="AB205" dT="2025-11-27T13:17:26.89" personId="{DA9619AC-8416-4265-8990-FD11931F31BB}" id="{E29618A0-227F-458C-B134-672C61D3445E}" done="1">
    <text>These are among TGWSW - has this separate extraction been done consistently in other studies?</text>
  </threadedComment>
  <threadedComment ref="AB205" dT="2025-12-09T21:30:29.50" personId="{BAA1B8CF-6869-42EE-8BDA-0BD94C78970E}" id="{FFB3209E-E599-414F-98F5-D4AAC51EAC66}" parentId="{E29618A0-227F-458C-B134-672C61D3445E}">
    <text>Will check with Jack</text>
  </threadedComment>
  <threadedComment ref="L206" dT="2025-11-27T13:19:27.75" personId="{DA9619AC-8416-4265-8990-FD11931F31BB}" id="{C86BBED3-ABFD-4C4E-B9A8-FD3FC798F331}" done="1">
    <text>186</text>
  </threadedComment>
  <threadedComment ref="L207" dT="2025-11-27T13:19:27.75" personId="{DA9619AC-8416-4265-8990-FD11931F31BB}" id="{57A4AA0E-4A97-4E21-A76F-91FC0EDBCA5D}" done="1">
    <text>186</text>
  </threadedComment>
  <threadedComment ref="L208" dT="2025-11-27T13:15:02.21" personId="{DA9619AC-8416-4265-8990-FD11931F31BB}" id="{35E04418-A688-4190-B0E9-847AB8C8753D}" done="1">
    <text>283</text>
  </threadedComment>
  <threadedComment ref="AB208" dT="2025-11-27T13:18:03.95" personId="{DA9619AC-8416-4265-8990-FD11931F31BB}" id="{1A06BBC8-99D8-4072-A7BE-6D0B18CD8C6C}" done="1">
    <text>CWSW</text>
  </threadedComment>
  <threadedComment ref="L209" dT="2025-11-27T13:19:27.75" personId="{DA9619AC-8416-4265-8990-FD11931F31BB}" id="{D46CDA10-2000-41D2-99D4-8E0602382057}" done="1">
    <text>186</text>
  </threadedComment>
  <threadedComment ref="L210" dT="2025-11-27T13:19:27.75" personId="{DA9619AC-8416-4265-8990-FD11931F31BB}" id="{9C562C76-0635-44F8-BDEE-2B3389525D6B}" done="1">
    <text>186</text>
  </threadedComment>
  <threadedComment ref="AB210" dT="2025-11-27T13:19:09.04" personId="{DA9619AC-8416-4265-8990-FD11931F31BB}" id="{B67BE7C5-C1BD-4C45-B591-19AC259A0310}" done="1">
    <text>TGWSW</text>
  </threadedComment>
  <threadedComment ref="L216" dT="2025-11-27T13:48:18.33" personId="{DA9619AC-8416-4265-8990-FD11931F31BB}" id="{3858B61E-80A5-4217-B77A-CCC9D8BFE6FA}" done="1">
    <text>356</text>
  </threadedComment>
  <threadedComment ref="AJ216" dT="2025-11-27T13:48:49.13" personId="{DA9619AC-8416-4265-8990-FD11931F31BB}" id="{292A856B-4CE6-4BF6-A744-0ED052ACDB39}" done="1">
    <text>There is also data on CD4 count &lt; 350 cells/ul</text>
  </threadedComment>
  <threadedComment ref="AJ216" dT="2025-11-27T15:15:50.34" personId="{9593CD56-7F84-4728-9BC0-6D79A344ADEB}" id="{8B62BF2B-AB47-40D8-B08D-9D6FE84CB7D7}" parentId="{292A856B-4CE6-4BF6-A744-0ED052ACDB39}">
    <text>We dont want that</text>
  </threadedComment>
  <threadedComment ref="AS216" dT="2025-11-27T13:52:33.80" personId="{DA9619AC-8416-4265-8990-FD11931F31BB}" id="{A538866C-89A5-473E-8F3B-CDD1BDBE2EC7}" done="1">
    <text>This is slightly different to that reported in the paper 0.86 (0.58-1.53). The paper notes there are 356 with data on ART, but the calculation has 357 as the denominator</text>
  </threadedComment>
  <threadedComment ref="AS216" dT="2025-12-10T11:19:07.12" personId="{BAA1B8CF-6869-42EE-8BDA-0BD94C78970E}" id="{E1BBD3EA-C09A-48BF-821B-0BDBEF6A2631}" parentId="{A538866C-89A5-473E-8F3B-CDD1BDBE2EC7}">
    <text>Will use what is in the paper</text>
  </threadedComment>
  <threadedComment ref="AW216" dT="2025-11-27T13:52:33.80" personId="{DA9619AC-8416-4265-8990-FD11931F31BB}" id="{0BEB4F66-44F8-452F-A77E-C13372461512}" done="1">
    <text>This is slightly different to that reported in the paper 0.86 (0.58-1.53). The paper notes there are 356 with data on ART, but the calculation has 357 as the denominator</text>
  </threadedComment>
  <threadedComment ref="AW216" dT="2025-12-10T11:19:07.12" personId="{BAA1B8CF-6869-42EE-8BDA-0BD94C78970E}" id="{A35DDF30-C8B7-4818-A991-A53C6F4E100C}" parentId="{0BEB4F66-44F8-452F-A77E-C13372461512}">
    <text>Will use what is in the paper</text>
  </threadedComment>
  <threadedComment ref="L219" dT="2025-11-27T14:03:11.48" personId="{DA9619AC-8416-4265-8990-FD11931F31BB}" id="{55519A8B-66F1-4460-AD6C-EFBAD088DA2C}" done="1">
    <text>958</text>
  </threadedComment>
  <threadedComment ref="L220" dT="2025-11-27T14:03:11.48" personId="{DA9619AC-8416-4265-8990-FD11931F31BB}" id="{5BC8F462-9D70-4383-82B3-1773101CCA2A}" done="1">
    <text>958</text>
  </threadedComment>
  <threadedComment ref="L221" dT="2025-11-27T14:14:36.38" personId="{DA9619AC-8416-4265-8990-FD11931F31BB}" id="{CC904001-032B-4B72-B329-5D6E2173ADEE}" done="1">
    <text>937</text>
  </threadedComment>
  <threadedComment ref="L222" dT="2025-11-27T14:14:55.99" personId="{DA9619AC-8416-4265-8990-FD11931F31BB}" id="{A74F3F70-F7D7-48F9-A871-46F055A588F2}" done="1">
    <text>740</text>
  </threadedComment>
  <threadedComment ref="L223" dT="2025-11-27T14:12:17.60" personId="{DA9619AC-8416-4265-8990-FD11931F31BB}" id="{789FF504-3E8E-486F-97E3-8B97C7BDF7CD}" done="1">
    <text>937</text>
  </threadedComment>
  <threadedComment ref="L225" dT="2025-11-27T14:14:15.43" personId="{DA9619AC-8416-4265-8990-FD11931F31BB}" id="{F9CD37FE-3B73-48E9-8D33-F153AB42EC13}" done="1">
    <text>735</text>
  </threadedComment>
  <threadedComment ref="L226" dT="2025-11-27T14:15:09.29" personId="{DA9619AC-8416-4265-8990-FD11931F31BB}" id="{FAD2C12C-D163-4465-B27A-15F1F4A037DF}" done="1">
    <text>735</text>
  </threadedComment>
  <threadedComment ref="L227" dT="2025-11-27T14:14:01.37" personId="{DA9619AC-8416-4265-8990-FD11931F31BB}" id="{82578D19-7394-4157-8AD4-0B3777DC7B48}" done="1">
    <text>937</text>
  </threadedComment>
  <threadedComment ref="L228" dT="2025-11-27T14:15:19.29" personId="{DA9619AC-8416-4265-8990-FD11931F31BB}" id="{02D548A8-CEC1-42B7-8CC9-BFF35A1AEEF0}" done="1">
    <text>739</text>
  </threadedComment>
</ThreadedComments>
</file>

<file path=xl/threadedComments/threadedComment3.xml><?xml version="1.0" encoding="utf-8"?>
<ThreadedComments xmlns="http://schemas.microsoft.com/office/spreadsheetml/2018/threadedcomments" xmlns:x="http://schemas.openxmlformats.org/spreadsheetml/2006/main">
  <threadedComment ref="K2" dT="2026-06-18T11:50:14.48" personId="{BAA1B8CF-6869-42EE-8BDA-0BD94C78970E}" id="{D9258A24-17BD-4DAE-81AB-0EDF0A382373}">
    <text>Calculated from findings</text>
  </threadedComment>
  <threadedComment ref="L2" dT="2026-06-18T11:41:45.10" personId="{BAA1B8CF-6869-42EE-8BDA-0BD94C78970E}" id="{F9D8A5AB-17DE-4CDA-9D17-3336AFB1ABAB}">
    <text>Calculated from table 2</text>
  </threadedComment>
  <threadedComment ref="X2" dT="2026-06-18T11:41:28.46" personId="{BAA1B8CF-6869-42EE-8BDA-0BD94C78970E}" id="{98E7BD32-6065-4F48-AD23-FCD9995C30DF}">
    <text>Calculated from table 2, in calculations tab</text>
  </threadedComment>
  <threadedComment ref="AR2" dT="2026-06-18T11:40:52.37" personId="{BAA1B8CF-6869-42EE-8BDA-0BD94C78970E}" id="{F3247B3B-4BC2-431C-B93F-2FE00EF12D7A}">
    <text>I used Table 3 for this estimate because there isn't one for all four survey years in Table 4</text>
  </threadedComment>
  <threadedComment ref="AR2" dT="2026-06-22T11:47:56.67" personId="{DA9619AC-8416-4265-8990-FD11931F31BB}" id="{55EE95E0-A52E-4D1D-B9AF-5F9861853894}" parentId="{F3247B3B-4BC2-431C-B93F-2FE00EF12D7A}">
    <text>I think this is a coefficient not an OR as some others in the table are negative</text>
  </threadedComment>
  <threadedComment ref="AS2" dT="2026-06-18T11:41:09.72" personId="{BAA1B8CF-6869-42EE-8BDA-0BD94C78970E}" id="{39DBEBBF-BBAF-4CE1-933C-D43933871A66}">
    <text>Calculated from P-value, in calculations tab</text>
  </threadedComment>
  <threadedComment ref="BA2" dT="2026-06-18T11:40:52.37" personId="{BAA1B8CF-6869-42EE-8BDA-0BD94C78970E}" id="{9AFF2630-EFD1-44AA-8FF3-E97722917238}">
    <text>I used Table 3 for this estimate because there isn't one for all four survey years in Table 4</text>
  </threadedComment>
  <threadedComment ref="BA2" dT="2026-06-22T11:47:56.67" personId="{DA9619AC-8416-4265-8990-FD11931F31BB}" id="{27277786-3F5B-4557-B63B-640878891C39}" parentId="{9AFF2630-EFD1-44AA-8FF3-E97722917238}">
    <text>I think this is a coefficient not an OR as some others in the table are negative</text>
  </threadedComment>
  <threadedComment ref="BB2" dT="2026-06-18T11:41:09.72" personId="{BAA1B8CF-6869-42EE-8BDA-0BD94C78970E}" id="{24407635-442B-4EF2-9D2D-06AFC07ED625}">
    <text>Calculated from P-value, in calculations tab</text>
  </threadedComment>
  <threadedComment ref="K3" dT="2026-06-18T11:50:14.48" personId="{BAA1B8CF-6869-42EE-8BDA-0BD94C78970E}" id="{5940FAF5-A979-45E5-A985-BEE5323F1720}">
    <text>Calculated from findings</text>
  </threadedComment>
  <threadedComment ref="X3" dT="2026-06-18T11:41:28.46" personId="{BAA1B8CF-6869-42EE-8BDA-0BD94C78970E}" id="{4C0B7349-EAF6-4147-B452-EE4D3B940992}">
    <text>Calculated from table 2, in calculations tab</text>
  </threadedComment>
  <threadedComment ref="AR3" dT="2026-06-18T11:57:13.35" personId="{BAA1B8CF-6869-42EE-8BDA-0BD94C78970E}" id="{9FA8490B-643E-48E3-90E5-B13DF6D82A19}">
    <text>Calculated from table 4</text>
  </threadedComment>
  <threadedComment ref="AR3" dT="2026-06-22T11:46:31.42" personId="{DA9619AC-8416-4265-8990-FD11931F31BB}" id="{8E72052E-5D7B-48BB-A6D2-32463F310807}" parentId="{9FA8490B-643E-48E3-90E5-B13DF6D82A19}">
    <text>I think this is a coefficient not an OR as some others in the table are negative</text>
  </threadedComment>
  <threadedComment ref="BA3" dT="2026-06-18T11:57:13.35" personId="{BAA1B8CF-6869-42EE-8BDA-0BD94C78970E}" id="{3CD76FFD-6233-43A3-A5E1-6133D1573864}">
    <text>Calculated from table 4</text>
  </threadedComment>
  <threadedComment ref="BA3" dT="2026-06-22T11:46:31.42" personId="{DA9619AC-8416-4265-8990-FD11931F31BB}" id="{213D542D-47F5-48F1-B7ED-0F4F1AA02B15}" parentId="{3CD76FFD-6233-43A3-A5E1-6133D1573864}">
    <text>I think this is a coefficient not an OR as some others in the table are negative</text>
  </threadedComment>
  <threadedComment ref="X4" dT="2026-06-18T12:16:36.41" personId="{BAA1B8CF-6869-42EE-8BDA-0BD94C78970E}" id="{86811C32-B1D9-488B-AC08-E762D2B8EBAF}">
    <text>The table is confusing but I am pretty sure the denominator of 676 is the number of PLHIV, and 371 is the number of those who experienced PV, so that is how I did the calculations in the sheet</text>
  </threadedComment>
  <threadedComment ref="AP4" dT="2026-06-18T12:20:51.17" personId="{BAA1B8CF-6869-42EE-8BDA-0BD94C78970E}" id="{856CD5B8-9F16-4836-B193-41327CF76BE0}">
    <text>NOTE: outcome in the adjusted model is violence so it is not extracted, instead I calculate ORs manually</text>
  </threadedComment>
  <threadedComment ref="X5" dT="2026-06-18T12:16:36.41" personId="{BAA1B8CF-6869-42EE-8BDA-0BD94C78970E}" id="{E6BA34D2-1998-4598-816E-1364F6668329}">
    <text>The table is confusing but I am pretty sure the denominator of 676 is the number of PLHIV, and 371 is the number of those who experienced PV, so that is how I did the calculations in the sheet</text>
  </threadedComment>
  <threadedComment ref="AP5" dT="2026-06-18T12:20:51.17" personId="{BAA1B8CF-6869-42EE-8BDA-0BD94C78970E}" id="{C08E3C88-8CE4-401F-AAA7-B588A3C7F219}">
    <text>NOTE: outcome in the adjusted model is violence so it is not extracted, instead I calculate ORs manually</text>
  </threadedComment>
  <threadedComment ref="X6" dT="2026-06-18T12:16:36.41" personId="{BAA1B8CF-6869-42EE-8BDA-0BD94C78970E}" id="{0312B632-FD44-4CE0-9AE4-89871E814D2F}">
    <text>The table is confusing but I am pretty sure the denominator of 676 is the number of PLHIV, and 371 is the number of those who experienced PV, so that is how I did the calculations in the sheet</text>
  </threadedComment>
  <threadedComment ref="Y6" dT="2026-06-18T12:35:56.36" personId="{BAA1B8CF-6869-42EE-8BDA-0BD94C78970E}" id="{1AB542CC-C755-4724-92AB-CC11782C5524}">
    <text>I extracted this data for Belinda because I AM A GR8 GUY</text>
  </threadedComment>
  <threadedComment ref="AP6" dT="2026-06-18T12:20:51.17" personId="{BAA1B8CF-6869-42EE-8BDA-0BD94C78970E}" id="{5BC92E73-14BA-435C-ABB7-CC9756573656}">
    <text>NOTE: outcome in the adjusted model is violence so it is not extracted, instead I calculate ORs manually</text>
  </threadedComment>
</ThreadedComments>
</file>

<file path=xl/threadedComments/threadedComment4.xml><?xml version="1.0" encoding="utf-8"?>
<ThreadedComments xmlns="http://schemas.microsoft.com/office/spreadsheetml/2018/threadedcomments" xmlns:x="http://schemas.openxmlformats.org/spreadsheetml/2006/main">
  <threadedComment ref="G3" dT="2025-11-20T20:25:52.44" personId="{9593CD56-7F84-4728-9BC0-6D79A344ADEB}" id="{79A204CC-29DD-4B81-9E96-963CCBEDE9ED}" done="1">
    <text>articipants in this study
were initially recruited at the three private or public
health centres oﬀering adapted healthcare (AHC) for
FSW that existed at that time in Conakry.</text>
  </threadedComment>
  <threadedComment ref="I4" dT="2025-11-20T21:33:34.33" personId="{9593CD56-7F84-4728-9BC0-6D79A344ADEB}" id="{46A14AE1-D683-46B0-8B18-3B74ABA5B7EA}" done="1">
    <text>In methods "*Experience of violence, stigma and discrimination*"</text>
  </threadedComment>
  <threadedComment ref="I4" dT="2025-11-20T21:36:15.44" personId="{9593CD56-7F84-4728-9BC0-6D79A344ADEB}" id="{3B8653A1-089F-4EBE-B2C9-6BA221028747}" parentId="{46A14AE1-D683-46B0-8B18-3B74ABA5B7EA}">
    <text>So should the classification be other?</text>
  </threadedComment>
  <threadedComment ref="G5" dT="2025-11-20T21:19:59.59" personId="{9593CD56-7F84-4728-9BC0-6D79A344ADEB}" id="{07DB49DC-A6E2-49DE-A2BD-FA18CFAF38AC}" done="1">
    <text>According to methods in appendix miltiple methods used: 
The rationale for district selection has
been described extensively by Saidel et al,
3 with standard cluster sampling, time-location cluster
sampling or respondent-driven sampling used for FSW selection, depending on the local sex work
typology (multiple sampling methods could be used within the same district)</text>
  </threadedComment>
  <threadedComment ref="G6" dT="2025-11-21T06:51:33.23" personId="{9593CD56-7F84-4728-9BC0-6D79A344ADEB}" id="{3919F194-8744-4143-9540-D579493648A2}" done="1">
    <text>Systematic random sampling (supposedly)</text>
  </threadedComment>
  <threadedComment ref="K8" dT="2025-11-21T07:00:10.39" personId="{9593CD56-7F84-4728-9BC0-6D79A344ADEB}" id="{E8E3E872-4A33-415E-8130-9CACA94BB953}" done="1">
    <text>Ever (Since starting sex work)</text>
  </threadedComment>
  <threadedComment ref="A18" dT="2025-11-21T08:28:51.57" personId="{9593CD56-7F84-4728-9BC0-6D79A344ADEB}" id="{9900B477-43A0-48FD-B346-80A749B073E3}" done="1">
    <text>From table 3 can also extract effect for ever testing</text>
  </threadedComment>
  <threadedComment ref="K18" dT="2025-11-21T08:27:15.22" personId="{9593CD56-7F84-4728-9BC0-6D79A344ADEB}" id="{AA96F64E-BC68-4E44-BFF7-0A222D6B7810}" done="1">
    <text>Past year</text>
  </threadedComment>
  <threadedComment ref="A19" dT="2025-11-21T08:28:51.57" personId="{9593CD56-7F84-4728-9BC0-6D79A344ADEB}" id="{EE590A79-FFEA-446C-B302-2B8C035CBA43}" done="1">
    <text>From table 3 can also extract effect for ever testing</text>
  </threadedComment>
  <threadedComment ref="K19" dT="2025-11-21T08:27:15.22" personId="{9593CD56-7F84-4728-9BC0-6D79A344ADEB}" id="{1898650C-52D4-4B82-A013-38170DB3B24F}" done="1">
    <text>Past year</text>
  </threadedComment>
  <threadedComment ref="J21" dT="2025-11-21T09:07:22.42" personId="{9593CD56-7F84-4728-9BC0-6D79A344ADEB}" id="{063B1B6A-5D38-4288-BC26-C677E2605911}" done="1">
    <text>Domestic and workplace/community violence</text>
  </threadedComment>
  <threadedComment ref="A24" dT="2025-11-21T09:11:10.00" personId="{9593CD56-7F84-4728-9BC0-6D79A344ADEB}" id="{323D8A84-47EA-42F6-99B8-8C9A91D68549}" done="1">
    <text>2018?</text>
  </threadedComment>
  <threadedComment ref="D24" dT="2025-11-21T09:11:15.81" personId="{9593CD56-7F84-4728-9BC0-6D79A344ADEB}" id="{B5757C82-3C16-40EA-89B5-D7DC82BC3F42}" done="1">
    <text>2018?</text>
  </threadedComment>
  <threadedComment ref="A25" dT="2025-11-21T09:11:10.00" personId="{9593CD56-7F84-4728-9BC0-6D79A344ADEB}" id="{35117441-0741-43A9-B48E-1415C6679C9E}" done="1">
    <text>2018?</text>
  </threadedComment>
  <threadedComment ref="D25" dT="2025-11-21T09:11:15.81" personId="{9593CD56-7F84-4728-9BC0-6D79A344ADEB}" id="{03EA5BB2-C9E8-47AB-B06B-C2EC6614009C}" done="1">
    <text>2018?</text>
  </threadedComment>
  <threadedComment ref="G26" dT="2025-11-21T09:26:13.72" personId="{9593CD56-7F84-4728-9BC0-6D79A344ADEB}" id="{7410EF88-9F3D-431F-92EC-CDFEC7CEBD9C}" done="1">
    <text>Sort of convenience sampling?</text>
  </threadedComment>
  <threadedComment ref="I26" dT="2025-11-21T09:31:15.52" personId="{9593CD56-7F84-4728-9BC0-6D79A344ADEB}" id="{CCB60C71-2BEA-406D-9ECC-551748439923}" done="1">
    <text>This is for violence and substance use together</text>
  </threadedComment>
  <threadedComment ref="J26" dT="2025-11-21T09:31:15.52" personId="{9593CD56-7F84-4728-9BC0-6D79A344ADEB}" id="{3F31D8A4-292E-4E82-8B97-233AE2B9472A}" done="1">
    <text>This is for violence and substance use together</text>
  </threadedComment>
  <threadedComment ref="A27" dT="2025-11-21T09:32:26.00" personId="{9593CD56-7F84-4728-9BC0-6D79A344ADEB}" id="{14E8DB33-0469-49E5-9C1D-AC5DD9321FF7}" done="1">
    <text>2019</text>
  </threadedComment>
  <threadedComment ref="D27" dT="2025-11-21T09:32:35.66" personId="{9593CD56-7F84-4728-9BC0-6D79A344ADEB}" id="{28FB0A1F-9DF8-40E2-A412-DD22EE72586B}" done="1">
    <text>2019</text>
  </threadedComment>
  <threadedComment ref="A28" dT="2025-11-21T09:32:26.00" personId="{9593CD56-7F84-4728-9BC0-6D79A344ADEB}" id="{A8444C17-DA01-49D1-9BA2-84A1E39D2DB0}" done="1">
    <text>2019</text>
  </threadedComment>
  <threadedComment ref="D28" dT="2025-11-21T09:32:35.66" personId="{9593CD56-7F84-4728-9BC0-6D79A344ADEB}" id="{94552191-A0D9-4D69-B6F0-AD5DBCA39AF8}" done="1">
    <text>2019</text>
  </threadedComment>
  <threadedComment ref="A29" dT="2025-11-21T09:58:35.18" personId="{9593CD56-7F84-4728-9BC0-6D79A344ADEB}" id="{D589B66F-4040-4FC6-8940-C8DDDCB11586}" done="1">
    <text>Can also extract OR of recent infection vs HIV negative - and use in incidence Meta-analysis</text>
  </threadedComment>
  <threadedComment ref="A30" dT="2025-11-21T09:58:35.18" personId="{9593CD56-7F84-4728-9BC0-6D79A344ADEB}" id="{FBDA8BE2-4DE9-4D9F-9227-376C3C9B5C52}" done="1">
    <text>Can also extract OR of recent infection vs HIV negative - and use in incidence Meta-analysis</text>
  </threadedComment>
  <threadedComment ref="A32" dT="2025-11-21T10:07:49.22" personId="{9593CD56-7F84-4728-9BC0-6D79A344ADEB}" id="{11893743-5C7A-4B17-A1E3-B70739E62B15}" done="1">
    <text>ALL TGW - is that allowed in the review??</text>
  </threadedComment>
  <threadedComment ref="A32" dT="2025-11-21T10:13:22.30" personId="{9593CD56-7F84-4728-9BC0-6D79A344ADEB}" id="{A588045E-B78C-465C-8D66-6F71EF2CBE65}" parentId="{11893743-5C7A-4B17-A1E3-B70739E62B15}">
    <text>Strange this study isnt in the MSM/TGW review</text>
  </threadedComment>
  <threadedComment ref="I32" dT="2025-11-21T10:06:47.48" personId="{9593CD56-7F84-4728-9BC0-6D79A344ADEB}" id="{754F9E39-88B8-4359-AD3D-70CF441235B1}" done="1">
    <text>Ex-
posure to violence was measured through two questions: re-
spondents were asked if in the last 12 months they had been
(1) beaten; and (2) forced to have sex against their will (rape).
Respondents answering yes to either question were coded as
1 and the remaining respondents were coded as 0.</text>
  </threadedComment>
  <threadedComment ref="I32" dT="2025-11-21T10:07:29.46" personId="{9593CD56-7F84-4728-9BC0-6D79A344ADEB}" id="{F15A6AAA-4931-4D84-BA7B-9B6BA6615036}" parentId="{754F9E39-88B8-4359-AD3D-70CF441235B1}">
    <text>Beaten or raped in past year</text>
  </threadedComment>
  <threadedComment ref="J32" dT="2025-11-21T10:06:52.50" personId="{9593CD56-7F84-4728-9BC0-6D79A344ADEB}" id="{8C0B3C2B-3F68-4FBF-9121-6ABB29E58BF7}" done="1">
    <text>Ex-
posure to violence was measured through two questions: re-
spondents were asked if in the last 12 months they had been
(1) beaten; and (2) forced to have sex against their will (rape).
Respondents answering yes to either question were coded as
1 and the remaining respondents were coded as 0.</text>
  </threadedComment>
  <threadedComment ref="J32" dT="2025-11-21T10:07:09.22" personId="{9593CD56-7F84-4728-9BC0-6D79A344ADEB}" id="{68A57751-3BC3-4FBA-9C8B-0C0F5BF16E2F}" parentId="{8C0B3C2B-3F68-4FBF-9121-6ABB29E58BF7}">
    <text>Beaten/raped in past year</text>
  </threadedComment>
  <threadedComment ref="F42" dT="2025-11-21T10:55:46.35" personId="{9593CD56-7F84-4728-9BC0-6D79A344ADEB}" id="{1D2FFEA3-BBCE-47B6-A9F1-79B21B9165AC}" done="1">
    <text>If RDS then community?</text>
  </threadedComment>
  <threadedComment ref="F43" dT="2025-11-21T10:55:46.35" personId="{9593CD56-7F84-4728-9BC0-6D79A344ADEB}" id="{DA491720-E0F1-4D16-81E7-2695A4BF2815}" done="1">
    <text>If RDS then community?</text>
  </threadedComment>
  <threadedComment ref="F44" dT="2025-11-21T10:55:46.35" personId="{9593CD56-7F84-4728-9BC0-6D79A344ADEB}" id="{B32E1B76-5621-47CE-BEDF-20E3930C9492}" done="1">
    <text>If RDS then community?</text>
  </threadedComment>
  <threadedComment ref="A48" dT="2025-11-21T11:32:32.86" personId="{9593CD56-7F84-4728-9BC0-6D79A344ADEB}" id="{9C839C2A-45BA-491E-A411-6CF93DD0E8C6}" done="1">
    <text>Also could estimate ORs for Pimp sexual violence (with correction for zero count), Pimp physical violence, presented with more clients than agreed to</text>
  </threadedComment>
  <threadedComment ref="A48" dT="2025-12-01T16:39:25.72" personId="{BAA1B8CF-6869-42EE-8BDA-0BD94C78970E}" id="{87C3C511-7D19-4DDF-8085-282591A3176F}" parentId="{9C839C2A-45BA-491E-A411-6CF93DD0E8C6}">
    <text>Also extract the more clients thing</text>
  </threadedComment>
  <threadedComment ref="A48" dT="2025-12-01T16:40:55.62" personId="{BAA1B8CF-6869-42EE-8BDA-0BD94C78970E}" id="{3EA67132-5BC0-42E3-887C-D7A854E89DC7}" parentId="{9C839C2A-45BA-491E-A411-6CF93DD0E8C6}">
    <text>Calculate using correction but put as footnote in table rather than in methods</text>
  </threadedComment>
  <threadedComment ref="J63" dT="2025-11-24T16:27:59.49" personId="{DA9619AC-8416-4265-8990-FD11931F31BB}" id="{1542F212-7AB6-4583-BCBA-B6FAD3E43F98}" done="1">
    <text xml:space="preserve">I presume this is fine to use as an exposure, but I’m copying here so Jack can confirm:
The dependent variable was involuntary sex exchange, which was defined as a ‘yes’ response to either of the following questions: ‘Have you ever been sold or traded for sexual purposes?’ or ‘Have you ever been forced to exchange sex for money, drugs, or other goods at the orders of another person?’ These measures were designed based on the UN Palermo Protocol definition of trafficking in persons and formative qualitative research conducted with FSWs, and were pilot-tested. </text>
  </threadedComment>
  <threadedComment ref="J63" dT="2025-12-09T17:06:44.39" personId="{BAA1B8CF-6869-42EE-8BDA-0BD94C78970E}" id="{3B1A6373-7493-4582-9B08-9630FBDCFDAB}" parentId="{1542F212-7AB6-4583-BCBA-B6FAD3E43F98}">
    <text>Discussed with jack and is fine</text>
  </threadedComment>
  <threadedComment ref="J69" dT="2025-11-24T16:51:22.60" personId="{DA9619AC-8416-4265-8990-FD11931F31BB}" id="{16BDD0F4-4929-4170-9AEC-5C53361F8F3D}" done="1">
    <text>Why would “Lived in an IDP camp” and “War-related abduction” be included as exposures for the Goldenberg study above but not for this one?</text>
  </threadedComment>
  <threadedComment ref="J69" dT="2025-11-26T13:38:25.51" personId="{9593CD56-7F84-4728-9BC0-6D79A344ADEB}" id="{FF3F1ADD-ACF6-45AC-B576-6041FEDD5699}" parentId="{16BDD0F4-4929-4170-9AEC-5C53361F8F3D}">
    <text xml:space="preserve">On the face of it They dont really seem like violence? Maybe abducted into army, maybe. </text>
  </threadedComment>
  <threadedComment ref="J69" dT="2025-12-07T22:04:08.12" personId="{BAA1B8CF-6869-42EE-8BDA-0BD94C78970E}" id="{88C3BA67-EF5E-463F-B0D4-DBDBDDADC9BF}" parentId="{16BDD0F4-4929-4170-9AEC-5C53361F8F3D}">
    <text>Discussed with Jack and have included war-related abducted and removed lived in IDP camp</text>
  </threadedComment>
  <threadedComment ref="I74" dT="2025-11-24T17:10:23.19" personId="{DA9619AC-8416-4265-8990-FD11931F31BB}" id="{12A9C8B0-4C08-4F86-A338-FB991AFC9B29}" done="1">
    <text>“Experienced sexual violence past 12 months”</text>
  </threadedComment>
  <threadedComment ref="I74" dT="2025-12-08T11:49:28.10" personId="{BAA1B8CF-6869-42EE-8BDA-0BD94C78970E}" id="{CCF4C3E0-56D6-4994-AF70-621BEA05BEC9}" parentId="{12A9C8B0-4C08-4F86-A338-FB991AFC9B29}">
    <text>Past 12 months goes into time frame column - have updated other text</text>
  </threadedComment>
  <threadedComment ref="J74" dT="2025-11-24T17:10:23.19" personId="{DA9619AC-8416-4265-8990-FD11931F31BB}" id="{E20E5B4E-4B18-477A-874A-D360E88C111F}" done="1">
    <text>“Experienced sexual violence past 12 months”</text>
  </threadedComment>
  <threadedComment ref="I80" dT="2025-11-24T18:09:25.19" personId="{DA9619AC-8416-4265-8990-FD11931F31BB}" id="{4C5AA351-AE09-48F0-83E4-0D544BEFF78D}" done="1">
    <text>For Jack to check whether this meets the inclusion criteria for violence:
“To measure economic abuse, enrolled women were asked 12 questions about whether a current or past sex partner had ever hurt them financially since the start of their relationship based on the following items: (i) made you ask them for money; (ii) demanded to know how money was spent; (iii) demanded that you give them receipts and/or change when money was spent; (iv) kept financial information from you; (v) made important financial decisions without talking with you first; (vi) threatened to make you leave job/work; (vii) demanded that you quit your job/work; (viii) beat you up if you said you needed to go to work; (ix) did things to keep you from going to your job/work; (x) spent money you needed for rent and other bills; (xi) paid bills late or not pay bills that were in your name or both of your names; and (xii) borrowed money or purchased things on credit under your name.”</text>
  </threadedComment>
  <threadedComment ref="I80" dT="2025-11-26T13:46:39.24" personId="{9593CD56-7F84-4728-9BC0-6D79A344ADEB}" id="{41193E8C-5E3A-479A-855A-62E6D6F403B6}" parentId="{4C5AA351-AE09-48F0-83E4-0D544BEFF78D}">
    <text>I think its okay - obviously a different type of violence though</text>
  </threadedComment>
  <threadedComment ref="J104" dT="2025-11-25T12:32:39.77" personId="{DA9619AC-8416-4265-8990-FD11931F31BB}" id="{10F3ED72-E2C7-4037-8E1E-0AC1B75609FD}" done="1">
    <text>Sex Work-related Police Harassment</text>
  </threadedComment>
  <threadedComment ref="A105" dT="2025-11-21T15:35:36.47" personId="{9593CD56-7F84-4728-9BC0-6D79A344ADEB}" id="{F69C3E4B-68E3-4D03-A1C6-AF1F6C5AA02B}" done="1">
    <text>Check if results for SW who are TGW are extracted?</text>
  </threadedComment>
  <threadedComment ref="A105" dT="2025-11-25T12:28:42.95" personId="{DA9619AC-8416-4265-8990-FD11931F31BB}" id="{7010460C-60FE-41D6-85FB-AC8259CEF9BE}" parentId="{F69C3E4B-68E3-4D03-A1C6-AF1F6C5AA02B}">
    <text>There’s a Maclin study in the TGW spreadsheet</text>
  </threadedComment>
  <threadedComment ref="A105" dT="2025-11-26T13:29:10.01" personId="{9593CD56-7F84-4728-9BC0-6D79A344ADEB}" id="{3B196B6F-4493-41DC-8051-B4639404A2DE}" parentId="{F69C3E4B-68E3-4D03-A1C6-AF1F6C5AA02B}">
    <text>Have the TGW estimates been extracted for this study though? Josh can you check? You had included TGW estimates in the batch I had reviewed</text>
  </threadedComment>
  <threadedComment ref="A105" dT="2025-12-09T18:29:13.28" personId="{BAA1B8CF-6869-42EE-8BDA-0BD94C78970E}" id="{CDB017EF-1918-40AE-9A5D-900895EFADB6}" parentId="{F69C3E4B-68E3-4D03-A1C6-AF1F6C5AA02B}">
    <text>I have now included it but it was a fucking nightmare</text>
  </threadedComment>
  <threadedComment ref="J105" dT="2025-11-25T12:32:39.77" personId="{DA9619AC-8416-4265-8990-FD11931F31BB}" id="{07B57C82-6370-440A-8FAB-CF75FCFCB36A}" done="1">
    <text>Sex Work-related Police Harassment</text>
  </threadedComment>
  <threadedComment ref="J106" dT="2025-11-25T12:32:39.77" personId="{DA9619AC-8416-4265-8990-FD11931F31BB}" id="{F097EE77-4843-464A-9D25-8D8D2089CCF7}" done="1">
    <text>Sex Work-related Police Harassment</text>
  </threadedComment>
  <threadedComment ref="J107" dT="2025-11-25T12:32:39.77" personId="{DA9619AC-8416-4265-8990-FD11931F31BB}" id="{4A776813-5A68-4036-A03F-CC2E5BBA0FBE}" done="1">
    <text>Sex Work-related Police Harassment</text>
  </threadedComment>
  <threadedComment ref="J108" dT="2025-11-25T12:32:39.77" personId="{DA9619AC-8416-4265-8990-FD11931F31BB}" id="{30C56C29-71EF-40AF-857D-A21DA8FEA2DE}" done="1">
    <text>Sex Work-related Police Harassment</text>
  </threadedComment>
  <threadedComment ref="J109" dT="2025-11-25T12:32:39.77" personId="{DA9619AC-8416-4265-8990-FD11931F31BB}" id="{F8B0248B-512A-452F-9F2F-C43425CD05F1}" done="1">
    <text>Sex Work-related Police Harassment</text>
  </threadedComment>
  <threadedComment ref="J110" dT="2025-11-25T12:32:39.77" personId="{DA9619AC-8416-4265-8990-FD11931F31BB}" id="{6BD1EDC6-92A6-46FC-9ADE-5FF16C1DA742}" done="1">
    <text>Sex Work-related Police Harassment</text>
  </threadedComment>
  <threadedComment ref="J111" dT="2025-11-25T12:32:39.77" personId="{DA9619AC-8416-4265-8990-FD11931F31BB}" id="{1BFBBB59-0D86-4A08-A279-737B4397E687}" done="1">
    <text>Sex Work-related Police Harassment</text>
  </threadedComment>
  <threadedComment ref="G137" dT="2025-11-25T12:59:46.79" personId="{DA9619AC-8416-4265-8990-FD11931F31BB}" id="{C8B9E990-29C6-412B-93C2-861841728934}" done="1">
    <text>Other sampling?
“Participants were recruited from non-governmental organizations, HIV clinics, drug treatment clinics, hotels, saunas and sex work venues in Almaty and Temirtau, Kazakhstan between February 2015 and May 2017. ”</text>
  </threadedComment>
  <threadedComment ref="I143" dT="2025-11-25T13:27:15.75" personId="{DA9619AC-8416-4265-8990-FD11931F31BB}" id="{AD2B4BA0-E702-4056-8214-58252615B9B0}" done="1">
    <text>Same here</text>
  </threadedComment>
  <threadedComment ref="I143" dT="2025-12-09T19:51:27.73" personId="{BAA1B8CF-6869-42EE-8BDA-0BD94C78970E}" id="{4CFE210A-B592-43A0-8F4A-62FDA375D408}" parentId="{AD2B4BA0-E702-4056-8214-58252615B9B0}">
    <text>fair</text>
  </threadedComment>
  <threadedComment ref="I144" dT="2025-11-25T13:26:46.11" personId="{DA9619AC-8416-4265-8990-FD11931F31BB}" id="{5EC48786-EFC5-4B61-933B-8618FF26E592}" done="1">
    <text>I’m not clear about which exposure variable for sexual violence was used in the model - there are many mentioned</text>
  </threadedComment>
  <threadedComment ref="I144" dT="2025-12-09T19:51:33.97" personId="{BAA1B8CF-6869-42EE-8BDA-0BD94C78970E}" id="{8E3EE6E3-398D-45BD-8470-270461179895}" parentId="{5EC48786-EFC5-4B61-933B-8618FF26E592}">
    <text xml:space="preserve">Fair I changed to SV
</text>
  </threadedComment>
  <threadedComment ref="J144" dT="2025-11-25T13:26:46.11" personId="{DA9619AC-8416-4265-8990-FD11931F31BB}" id="{4D088AF8-81AC-4577-82F3-7838EA36CB25}" done="1">
    <text>I’m not clear about which exposure variable for sexual violence was used in the model - there are many mentioned</text>
  </threadedComment>
  <threadedComment ref="J144" dT="2025-12-09T19:50:54.50" personId="{BAA1B8CF-6869-42EE-8BDA-0BD94C78970E}" id="{4C8729EC-7F88-4867-AA87-44E61F17325F}" parentId="{4D088AF8-81AC-4577-82F3-7838EA36CB25}">
    <text>Fair, I think it’s just sexual violence</text>
  </threadedComment>
  <threadedComment ref="A149" dT="2025-11-25T13:38:16.63" personId="{DA9619AC-8416-4265-8990-FD11931F31BB}" id="{0D13B29B-A147-41EE-805D-5443E591DE88}" done="1">
    <text>Unsure whether these should be included - the outcome is ART use among self-reported PLHIV</text>
  </threadedComment>
  <threadedComment ref="A149" dT="2025-12-09T19:58:26.75" personId="{BAA1B8CF-6869-42EE-8BDA-0BD94C78970E}" id="{02659FC8-A5EE-4FFA-9F78-7B96DDD8D054}" parentId="{0D13B29B-A147-41EE-805D-5443E591DE88}">
    <text>We are including this</text>
  </threadedComment>
  <threadedComment ref="I155" dT="2025-11-25T14:21:24.30" personId="{DA9619AC-8416-4265-8990-FD11931F31BB}" id="{B23A79C8-705B-4B33-B332-D33E8C318A3B}" done="1">
    <text>It should be possible to use the results in tables 2 and 3 to create a variable for “Any violent experiences” which would be more useful than this</text>
  </threadedComment>
  <threadedComment ref="I155" dT="2025-12-09T20:38:38.71" personId="{BAA1B8CF-6869-42EE-8BDA-0BD94C78970E}" id="{ABA0362A-E88D-4088-9A75-FC2E8D376831}" parentId="{B23A79C8-705B-4B33-B332-D33E8C318A3B}">
    <text>Table 3 is condom use</text>
  </threadedComment>
  <threadedComment ref="I155" dT="2025-12-09T20:39:18.59" personId="{BAA1B8CF-6869-42EE-8BDA-0BD94C78970E}" id="{D01AD115-5E64-4B2F-A84A-AA24AE6E35B9}" parentId="{B23A79C8-705B-4B33-B332-D33E8C318A3B}">
    <text>Table 4 is HIV but when I include it, I get an OR of 31.51. it’s a confusing study. Let’s discuss</text>
  </threadedComment>
  <threadedComment ref="I155" dT="2025-12-10T11:46:14.39" personId="{BAA1B8CF-6869-42EE-8BDA-0BD94C78970E}" id="{AD8D0459-10DE-4C9C-85F2-694B1F9ECDA1}" parentId="{B23A79C8-705B-4B33-B332-D33E8C318A3B}">
    <text>Spoke to Jack and decided to keep as is because of adjusted ORs</text>
  </threadedComment>
  <threadedComment ref="I171" dT="2025-11-26T16:41:41.02" personId="{DA9619AC-8416-4265-8990-FD11931F31BB}" id="{1063FA97-4223-4741-8BC0-3877FACAD746}" done="1">
    <text>Any emotional intimate partner violence</text>
  </threadedComment>
  <threadedComment ref="J171" dT="2025-11-26T16:41:51.88" personId="{DA9619AC-8416-4265-8990-FD11931F31BB}" id="{0F7D18CD-FC29-4B1B-8333-95B352C84B82}" done="1">
    <text>Any emotional intimate partner violence</text>
  </threadedComment>
  <threadedComment ref="J171" dT="2025-12-09T20:56:37.29" personId="{BAA1B8CF-6869-42EE-8BDA-0BD94C78970E}" id="{2A13E6AE-EE0F-4A0B-BEAF-58C6980D70FD}" parentId="{0F7D18CD-FC29-4B1B-8333-95B352C84B82}">
    <text>I use perpetrator to show IPV</text>
  </threadedComment>
  <threadedComment ref="J201" dT="2025-11-27T13:18:03.95" personId="{DA9619AC-8416-4265-8990-FD11931F31BB}" id="{7157E8DD-48E7-46F5-9CF6-6FE04D7334D5}" done="1">
    <text>CWSW</text>
  </threadedComment>
  <threadedComment ref="J202" dT="2025-11-27T13:19:09.04" personId="{DA9619AC-8416-4265-8990-FD11931F31BB}" id="{ABF5D11E-539D-48EA-9FE7-4F7E77E2D70E}" done="1">
    <text>TGWSW</text>
  </threadedComment>
  <threadedComment ref="J203" dT="2025-11-27T13:17:26.89" personId="{DA9619AC-8416-4265-8990-FD11931F31BB}" id="{B13C918D-A450-452F-BF5D-B76906CA8D41}" done="1">
    <text>These are among TGWSW - has this separate extraction been done consistently in other studies?</text>
  </threadedComment>
  <threadedComment ref="J203" dT="2025-12-09T21:30:29.50" personId="{BAA1B8CF-6869-42EE-8BDA-0BD94C78970E}" id="{D9170CC0-7150-4250-ADCA-5D076648E2F9}" parentId="{B13C918D-A450-452F-BF5D-B76906CA8D41}">
    <text>Will check with Jack</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www.bmj.com/content/343/bmj.d2090" TargetMode="External"/><Relationship Id="rId7" Type="http://schemas.openxmlformats.org/officeDocument/2006/relationships/comments" Target="../comments1.xml"/><Relationship Id="rId2" Type="http://schemas.openxmlformats.org/officeDocument/2006/relationships/hyperlink" Target="https://www.bmj.com/content/343/bmj.d2090" TargetMode="External"/><Relationship Id="rId1" Type="http://schemas.openxmlformats.org/officeDocument/2006/relationships/hyperlink" Target="https://www.bmj.com/content/343/bmj.d2090"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www.bmj.com/content/343/bmj.d2090"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453CC-388E-4BAD-BB5A-DC9CADAE7D0A}">
  <dimension ref="A2:T829"/>
  <sheetViews>
    <sheetView topLeftCell="A813" zoomScale="130" zoomScaleNormal="130" workbookViewId="0">
      <selection activeCell="I813" sqref="I813"/>
    </sheetView>
  </sheetViews>
  <sheetFormatPr defaultColWidth="9.140625" defaultRowHeight="15" x14ac:dyDescent="0.25"/>
  <cols>
    <col min="1" max="1" width="27.85546875" style="1" bestFit="1" customWidth="1"/>
    <col min="2" max="2" width="14.7109375" style="1" customWidth="1"/>
    <col min="3" max="3" width="12.42578125" style="1" customWidth="1"/>
    <col min="4" max="4" width="12.5703125" style="1" bestFit="1" customWidth="1"/>
    <col min="5" max="5" width="9.140625" style="1"/>
    <col min="6" max="6" width="11.28515625" style="1" bestFit="1" customWidth="1"/>
    <col min="7" max="7" width="8.7109375" style="1" customWidth="1"/>
    <col min="8" max="8" width="13.7109375" style="1" customWidth="1"/>
    <col min="9" max="16384" width="9.140625" style="1"/>
  </cols>
  <sheetData>
    <row r="2" spans="1:4" x14ac:dyDescent="0.25">
      <c r="A2" s="1" t="s">
        <v>1474</v>
      </c>
      <c r="B2" s="1" t="s">
        <v>1475</v>
      </c>
    </row>
    <row r="6" spans="1:4" x14ac:dyDescent="0.25">
      <c r="A6" s="4" t="s">
        <v>299</v>
      </c>
    </row>
    <row r="8" spans="1:4" x14ac:dyDescent="0.25">
      <c r="A8" s="1" t="s">
        <v>1243</v>
      </c>
    </row>
    <row r="10" spans="1:4" x14ac:dyDescent="0.25">
      <c r="A10" s="1" t="s">
        <v>1244</v>
      </c>
      <c r="B10" s="1" t="s">
        <v>1245</v>
      </c>
      <c r="C10" s="1" t="s">
        <v>1246</v>
      </c>
    </row>
    <row r="11" spans="1:4" x14ac:dyDescent="0.25">
      <c r="A11" s="1">
        <v>561</v>
      </c>
      <c r="B11" s="6">
        <v>73</v>
      </c>
      <c r="C11" s="1">
        <f>SUM(A11:B11)</f>
        <v>634</v>
      </c>
      <c r="D11" s="7">
        <f>C11/D13</f>
        <v>0.16458982346832815</v>
      </c>
    </row>
    <row r="12" spans="1:4" x14ac:dyDescent="0.25">
      <c r="A12" s="1">
        <f>3439-A11</f>
        <v>2878</v>
      </c>
      <c r="B12" s="6">
        <f>413-B11</f>
        <v>340</v>
      </c>
      <c r="C12" s="1">
        <f>SUM(A12:B12)</f>
        <v>3218</v>
      </c>
    </row>
    <row r="13" spans="1:4" x14ac:dyDescent="0.25">
      <c r="D13" s="1">
        <f>3439+413</f>
        <v>3852</v>
      </c>
    </row>
    <row r="15" spans="1:4" x14ac:dyDescent="0.25">
      <c r="A15" s="4" t="s">
        <v>1494</v>
      </c>
    </row>
    <row r="17" spans="1:7" x14ac:dyDescent="0.25">
      <c r="B17" s="1" t="s">
        <v>1247</v>
      </c>
      <c r="C17" s="1" t="s">
        <v>1248</v>
      </c>
      <c r="F17" s="1" t="s">
        <v>1</v>
      </c>
      <c r="G17" s="1">
        <v>0.96</v>
      </c>
    </row>
    <row r="18" spans="1:7" x14ac:dyDescent="0.25">
      <c r="A18" s="1" t="s">
        <v>1249</v>
      </c>
      <c r="B18" s="1">
        <v>118</v>
      </c>
      <c r="C18" s="1">
        <v>102</v>
      </c>
      <c r="D18" s="1">
        <v>220</v>
      </c>
      <c r="F18" s="1" t="s">
        <v>1258</v>
      </c>
      <c r="G18" s="1">
        <v>0.68</v>
      </c>
    </row>
    <row r="19" spans="1:7" x14ac:dyDescent="0.25">
      <c r="A19" s="1" t="s">
        <v>1250</v>
      </c>
      <c r="B19" s="1">
        <f>B20-B18</f>
        <v>176</v>
      </c>
      <c r="C19" s="1">
        <f>C20-C18</f>
        <v>146</v>
      </c>
      <c r="D19" s="1">
        <f>542-220</f>
        <v>322</v>
      </c>
      <c r="F19" s="1" t="s">
        <v>1259</v>
      </c>
      <c r="G19" s="1">
        <v>1.35</v>
      </c>
    </row>
    <row r="20" spans="1:7" x14ac:dyDescent="0.25">
      <c r="B20" s="1">
        <v>294</v>
      </c>
      <c r="C20" s="1">
        <v>248</v>
      </c>
      <c r="D20" s="1">
        <f>SUM(D18:D19)</f>
        <v>542</v>
      </c>
      <c r="F20" s="1" t="s">
        <v>1260</v>
      </c>
      <c r="G20" s="1">
        <v>0.81499999999999995</v>
      </c>
    </row>
    <row r="22" spans="1:7" x14ac:dyDescent="0.25">
      <c r="A22" s="4" t="s">
        <v>1493</v>
      </c>
    </row>
    <row r="24" spans="1:7" x14ac:dyDescent="0.25">
      <c r="B24" s="1" t="s">
        <v>1251</v>
      </c>
      <c r="C24" s="1" t="s">
        <v>1252</v>
      </c>
      <c r="F24" s="1" t="s">
        <v>1</v>
      </c>
      <c r="G24" s="1">
        <v>0.67</v>
      </c>
    </row>
    <row r="25" spans="1:7" x14ac:dyDescent="0.25">
      <c r="A25" s="1" t="s">
        <v>1249</v>
      </c>
      <c r="B25" s="1">
        <v>32</v>
      </c>
      <c r="C25" s="1">
        <v>7</v>
      </c>
      <c r="F25" s="1" t="s">
        <v>1258</v>
      </c>
      <c r="G25" s="1">
        <v>0.27</v>
      </c>
    </row>
    <row r="26" spans="1:7" x14ac:dyDescent="0.25">
      <c r="A26" s="1" t="s">
        <v>1250</v>
      </c>
      <c r="B26" s="1">
        <f>B27-B25</f>
        <v>98</v>
      </c>
      <c r="C26" s="1">
        <f>C27-C25</f>
        <v>32</v>
      </c>
      <c r="F26" s="1" t="s">
        <v>1259</v>
      </c>
      <c r="G26" s="1">
        <v>1.66</v>
      </c>
    </row>
    <row r="27" spans="1:7" x14ac:dyDescent="0.25">
      <c r="B27" s="1">
        <v>130</v>
      </c>
      <c r="C27" s="1">
        <v>39</v>
      </c>
      <c r="F27" s="1" t="s">
        <v>1260</v>
      </c>
      <c r="G27" s="1">
        <v>0.38800000000000001</v>
      </c>
    </row>
    <row r="29" spans="1:7" x14ac:dyDescent="0.25">
      <c r="B29" s="1" t="s">
        <v>1251</v>
      </c>
      <c r="C29" s="1" t="s">
        <v>1253</v>
      </c>
      <c r="F29" s="1" t="s">
        <v>1</v>
      </c>
      <c r="G29" s="1">
        <v>1.26</v>
      </c>
    </row>
    <row r="30" spans="1:7" x14ac:dyDescent="0.25">
      <c r="A30" s="1" t="s">
        <v>1249</v>
      </c>
      <c r="B30" s="1">
        <v>32</v>
      </c>
      <c r="C30" s="1">
        <v>25</v>
      </c>
      <c r="F30" s="1" t="s">
        <v>1258</v>
      </c>
      <c r="G30" s="1">
        <v>0.68</v>
      </c>
    </row>
    <row r="31" spans="1:7" x14ac:dyDescent="0.25">
      <c r="A31" s="1" t="s">
        <v>1250</v>
      </c>
      <c r="B31" s="1">
        <f>B32-B30</f>
        <v>98</v>
      </c>
      <c r="C31" s="1">
        <f>C32-C30</f>
        <v>61</v>
      </c>
      <c r="F31" s="1" t="s">
        <v>1259</v>
      </c>
      <c r="G31" s="1">
        <v>2.3199999999999998</v>
      </c>
    </row>
    <row r="32" spans="1:7" x14ac:dyDescent="0.25">
      <c r="B32" s="1">
        <v>130</v>
      </c>
      <c r="C32" s="1">
        <v>86</v>
      </c>
      <c r="F32" s="1" t="s">
        <v>1260</v>
      </c>
      <c r="G32" s="1">
        <v>0.47699999999999998</v>
      </c>
    </row>
    <row r="35" spans="1:14" x14ac:dyDescent="0.25">
      <c r="A35" s="4" t="s">
        <v>1254</v>
      </c>
    </row>
    <row r="37" spans="1:14" x14ac:dyDescent="0.25">
      <c r="B37" s="1" t="s">
        <v>80</v>
      </c>
      <c r="C37" s="1" t="s">
        <v>1255</v>
      </c>
      <c r="G37" s="1" t="s">
        <v>11</v>
      </c>
      <c r="H37" s="1" t="s">
        <v>1256</v>
      </c>
      <c r="L37" s="1" t="s">
        <v>1076</v>
      </c>
      <c r="M37" s="1" t="s">
        <v>1257</v>
      </c>
    </row>
    <row r="38" spans="1:14" x14ac:dyDescent="0.25">
      <c r="A38" s="1" t="s">
        <v>1249</v>
      </c>
      <c r="B38" s="1">
        <v>41</v>
      </c>
      <c r="C38" s="1">
        <v>159</v>
      </c>
      <c r="D38" s="1">
        <v>200</v>
      </c>
      <c r="F38" s="1" t="s">
        <v>1249</v>
      </c>
      <c r="G38" s="1">
        <v>36</v>
      </c>
      <c r="H38" s="1">
        <v>164</v>
      </c>
      <c r="I38" s="1">
        <v>200</v>
      </c>
      <c r="K38" s="1" t="s">
        <v>1249</v>
      </c>
      <c r="L38" s="1">
        <v>82</v>
      </c>
      <c r="M38" s="1">
        <v>118</v>
      </c>
      <c r="N38" s="1">
        <v>200</v>
      </c>
    </row>
    <row r="39" spans="1:14" x14ac:dyDescent="0.25">
      <c r="A39" s="1" t="s">
        <v>1250</v>
      </c>
      <c r="B39" s="1">
        <f>B40-B38</f>
        <v>127</v>
      </c>
      <c r="C39" s="1">
        <f>C40-C38</f>
        <v>651</v>
      </c>
      <c r="D39" s="1">
        <v>781</v>
      </c>
      <c r="F39" s="1" t="s">
        <v>1250</v>
      </c>
      <c r="G39" s="1">
        <f>G40-G38</f>
        <v>96</v>
      </c>
      <c r="H39" s="1">
        <f>H40-H38</f>
        <v>682</v>
      </c>
      <c r="I39" s="1">
        <v>781</v>
      </c>
      <c r="K39" s="1" t="s">
        <v>1250</v>
      </c>
      <c r="L39" s="1">
        <f>L40-L38</f>
        <v>244</v>
      </c>
      <c r="M39" s="1">
        <f>M40-M38</f>
        <v>530</v>
      </c>
      <c r="N39" s="1">
        <v>781</v>
      </c>
    </row>
    <row r="40" spans="1:14" x14ac:dyDescent="0.25">
      <c r="B40" s="1">
        <v>168</v>
      </c>
      <c r="C40" s="1">
        <v>810</v>
      </c>
      <c r="G40" s="1">
        <v>132</v>
      </c>
      <c r="H40" s="1">
        <v>846</v>
      </c>
      <c r="L40" s="1">
        <v>326</v>
      </c>
      <c r="M40" s="1">
        <v>648</v>
      </c>
    </row>
    <row r="42" spans="1:14" x14ac:dyDescent="0.25">
      <c r="A42" s="1" t="s">
        <v>1</v>
      </c>
      <c r="B42" s="1">
        <v>1.32</v>
      </c>
      <c r="F42" s="1" t="s">
        <v>1</v>
      </c>
      <c r="G42" s="1">
        <v>1.56</v>
      </c>
      <c r="K42" s="1" t="s">
        <v>1</v>
      </c>
      <c r="L42" s="1">
        <v>1.51</v>
      </c>
    </row>
    <row r="43" spans="1:14" x14ac:dyDescent="0.25">
      <c r="A43" s="1" t="s">
        <v>1258</v>
      </c>
      <c r="B43" s="1">
        <v>0.89</v>
      </c>
      <c r="F43" s="1" t="s">
        <v>1258</v>
      </c>
      <c r="G43" s="1">
        <v>1.03</v>
      </c>
      <c r="K43" s="1" t="s">
        <v>1258</v>
      </c>
      <c r="L43" s="1">
        <v>1.1000000000000001</v>
      </c>
    </row>
    <row r="44" spans="1:14" x14ac:dyDescent="0.25">
      <c r="A44" s="1" t="s">
        <v>1259</v>
      </c>
      <c r="B44" s="1">
        <v>1.96</v>
      </c>
      <c r="F44" s="1" t="s">
        <v>1259</v>
      </c>
      <c r="G44" s="1">
        <v>2.37</v>
      </c>
      <c r="K44" s="1" t="s">
        <v>1259</v>
      </c>
      <c r="L44" s="1">
        <v>2.08</v>
      </c>
    </row>
    <row r="45" spans="1:14" x14ac:dyDescent="0.25">
      <c r="A45" s="1" t="s">
        <v>1260</v>
      </c>
      <c r="B45" s="1">
        <v>0.16400000000000001</v>
      </c>
      <c r="F45" s="1" t="s">
        <v>1260</v>
      </c>
      <c r="G45" s="1">
        <v>3.7999999999999999E-2</v>
      </c>
      <c r="K45" s="1" t="s">
        <v>1260</v>
      </c>
      <c r="L45" s="1">
        <v>1.0999999999999999E-2</v>
      </c>
    </row>
    <row r="47" spans="1:14" x14ac:dyDescent="0.25">
      <c r="A47" s="4" t="s">
        <v>1261</v>
      </c>
    </row>
    <row r="49" spans="1:19" x14ac:dyDescent="0.25">
      <c r="B49" s="1" t="s">
        <v>541</v>
      </c>
      <c r="C49" s="1" t="s">
        <v>1262</v>
      </c>
      <c r="G49" s="1" t="s">
        <v>1084</v>
      </c>
      <c r="H49" s="1" t="s">
        <v>1263</v>
      </c>
      <c r="L49" s="1" t="s">
        <v>1264</v>
      </c>
      <c r="M49" s="1" t="s">
        <v>1265</v>
      </c>
      <c r="O49" s="1" t="s">
        <v>1266</v>
      </c>
      <c r="Q49" s="1" t="s">
        <v>1084</v>
      </c>
      <c r="R49" s="1" t="s">
        <v>1267</v>
      </c>
      <c r="S49" s="1" t="s">
        <v>1268</v>
      </c>
    </row>
    <row r="50" spans="1:19" x14ac:dyDescent="0.25">
      <c r="A50" s="1" t="s">
        <v>1249</v>
      </c>
      <c r="B50" s="1">
        <v>6</v>
      </c>
      <c r="C50" s="1">
        <f>D50-B50</f>
        <v>95</v>
      </c>
      <c r="D50" s="1">
        <v>101</v>
      </c>
      <c r="F50" s="1" t="s">
        <v>1249</v>
      </c>
      <c r="G50" s="1">
        <v>5</v>
      </c>
      <c r="H50" s="1">
        <f>I50-G50</f>
        <v>96</v>
      </c>
      <c r="I50" s="1">
        <v>101</v>
      </c>
      <c r="K50" s="1" t="s">
        <v>1269</v>
      </c>
      <c r="L50" s="1">
        <v>1834</v>
      </c>
      <c r="M50" s="1">
        <v>60</v>
      </c>
      <c r="N50" s="1">
        <f t="shared" ref="N50:N53" si="0">SUM(L50:M50)</f>
        <v>1894</v>
      </c>
      <c r="O50" s="1">
        <f>M50/N50</f>
        <v>3.1678986272439279E-2</v>
      </c>
      <c r="Q50" s="1" t="s">
        <v>1245</v>
      </c>
      <c r="R50" s="1">
        <v>40</v>
      </c>
      <c r="S50" s="1">
        <f>R50/R52</f>
        <v>1.2702445220704985E-2</v>
      </c>
    </row>
    <row r="51" spans="1:19" x14ac:dyDescent="0.25">
      <c r="A51" s="1" t="s">
        <v>1250</v>
      </c>
      <c r="B51" s="1">
        <f>B52-B50</f>
        <v>36</v>
      </c>
      <c r="C51" s="1">
        <f>C52-C50</f>
        <v>3012</v>
      </c>
      <c r="D51" s="1">
        <f>D52-D50</f>
        <v>3048</v>
      </c>
      <c r="F51" s="1" t="s">
        <v>1250</v>
      </c>
      <c r="G51" s="1">
        <f>G52-G50</f>
        <v>35</v>
      </c>
      <c r="H51" s="1">
        <f>H52-H50</f>
        <v>3013</v>
      </c>
      <c r="I51" s="1">
        <f>I52-I50</f>
        <v>3048</v>
      </c>
      <c r="K51" s="1" t="s">
        <v>1270</v>
      </c>
      <c r="L51" s="1">
        <v>948</v>
      </c>
      <c r="M51" s="1">
        <v>10</v>
      </c>
      <c r="N51" s="1">
        <f t="shared" si="0"/>
        <v>958</v>
      </c>
      <c r="O51" s="1">
        <f t="shared" ref="O51:O53" si="1">M51/N51</f>
        <v>1.0438413361169102E-2</v>
      </c>
      <c r="Q51" s="1" t="s">
        <v>1244</v>
      </c>
      <c r="R51" s="1">
        <f>R52-R50</f>
        <v>3109</v>
      </c>
      <c r="S51" s="1">
        <f>R51/R52</f>
        <v>0.98729755477929504</v>
      </c>
    </row>
    <row r="52" spans="1:19" x14ac:dyDescent="0.25">
      <c r="B52" s="1">
        <v>42</v>
      </c>
      <c r="C52" s="1">
        <f>D52-B52</f>
        <v>3107</v>
      </c>
      <c r="D52" s="1">
        <v>3149</v>
      </c>
      <c r="G52" s="1">
        <v>40</v>
      </c>
      <c r="H52" s="1">
        <f>I52-G52</f>
        <v>3109</v>
      </c>
      <c r="I52" s="1">
        <v>3149</v>
      </c>
      <c r="K52" s="1" t="s">
        <v>1271</v>
      </c>
      <c r="L52" s="1">
        <v>295</v>
      </c>
      <c r="M52" s="1">
        <v>2</v>
      </c>
      <c r="N52" s="1">
        <f t="shared" si="0"/>
        <v>297</v>
      </c>
      <c r="O52" s="1">
        <f t="shared" si="1"/>
        <v>6.7340067340067337E-3</v>
      </c>
      <c r="Q52" s="1" t="s">
        <v>1246</v>
      </c>
      <c r="R52" s="1">
        <v>3149</v>
      </c>
    </row>
    <row r="53" spans="1:19" x14ac:dyDescent="0.25">
      <c r="L53" s="1">
        <f>SUM(L50:L52)</f>
        <v>3077</v>
      </c>
      <c r="M53" s="1">
        <f>SUM(M50:M52)</f>
        <v>72</v>
      </c>
      <c r="N53" s="1">
        <f t="shared" si="0"/>
        <v>3149</v>
      </c>
      <c r="O53" s="1">
        <f t="shared" si="1"/>
        <v>2.2864401397268974E-2</v>
      </c>
    </row>
    <row r="54" spans="1:19" x14ac:dyDescent="0.25">
      <c r="A54" s="1" t="s">
        <v>1</v>
      </c>
      <c r="B54" s="1">
        <v>5.28</v>
      </c>
      <c r="F54" s="1" t="s">
        <v>1</v>
      </c>
      <c r="G54" s="1">
        <v>4.4800000000000004</v>
      </c>
      <c r="Q54" s="1" t="s">
        <v>541</v>
      </c>
      <c r="R54" s="1" t="s">
        <v>1267</v>
      </c>
      <c r="S54" s="1" t="s">
        <v>1268</v>
      </c>
    </row>
    <row r="55" spans="1:19" x14ac:dyDescent="0.25">
      <c r="A55" s="1" t="s">
        <v>1258</v>
      </c>
      <c r="B55" s="1">
        <v>2.17</v>
      </c>
      <c r="F55" s="1" t="s">
        <v>1258</v>
      </c>
      <c r="G55" s="1">
        <v>1.72</v>
      </c>
      <c r="Q55" s="1" t="s">
        <v>1245</v>
      </c>
      <c r="R55" s="1">
        <v>42</v>
      </c>
      <c r="S55" s="1">
        <f>R55/R57</f>
        <v>1.3337567481740234E-2</v>
      </c>
    </row>
    <row r="56" spans="1:19" x14ac:dyDescent="0.25">
      <c r="A56" s="1" t="s">
        <v>1259</v>
      </c>
      <c r="B56" s="1">
        <v>12.84</v>
      </c>
      <c r="F56" s="1" t="s">
        <v>1259</v>
      </c>
      <c r="G56" s="1">
        <v>11.7</v>
      </c>
      <c r="Q56" s="1" t="s">
        <v>1244</v>
      </c>
      <c r="R56" s="1">
        <f>R57-R55</f>
        <v>3107</v>
      </c>
      <c r="S56" s="1">
        <f>R56/R57</f>
        <v>0.9866624325182598</v>
      </c>
    </row>
    <row r="57" spans="1:19" x14ac:dyDescent="0.25">
      <c r="A57" s="1" t="s">
        <v>1260</v>
      </c>
      <c r="B57" s="1" t="s">
        <v>60</v>
      </c>
      <c r="F57" s="1" t="s">
        <v>1260</v>
      </c>
      <c r="G57" s="1">
        <v>2E-3</v>
      </c>
      <c r="Q57" s="1" t="s">
        <v>1246</v>
      </c>
      <c r="R57" s="1">
        <v>3149</v>
      </c>
    </row>
    <row r="59" spans="1:19" x14ac:dyDescent="0.25">
      <c r="A59" s="4" t="s">
        <v>1272</v>
      </c>
    </row>
    <row r="61" spans="1:19" x14ac:dyDescent="0.25">
      <c r="A61" s="1" t="s">
        <v>1273</v>
      </c>
      <c r="D61" s="1" t="s">
        <v>1273</v>
      </c>
    </row>
    <row r="63" spans="1:19" x14ac:dyDescent="0.25">
      <c r="A63" s="1" t="s">
        <v>1274</v>
      </c>
      <c r="B63" s="1">
        <f>(-0.862)+SQRT(0.743-(2.404*LN(0.001)))</f>
        <v>3.3032423327668532</v>
      </c>
      <c r="D63" s="1" t="s">
        <v>1274</v>
      </c>
      <c r="E63" s="1">
        <f>(-0.862)+SQRT(0.743-(2.404*LN(0.01)))</f>
        <v>2.5751251253213594</v>
      </c>
    </row>
    <row r="64" spans="1:19" x14ac:dyDescent="0.25">
      <c r="A64" s="1" t="s">
        <v>1275</v>
      </c>
      <c r="B64" s="1">
        <f>LN(3.5)</f>
        <v>1.2527629684953681</v>
      </c>
      <c r="D64" s="1" t="s">
        <v>1275</v>
      </c>
      <c r="E64" s="1">
        <f>LN(3)</f>
        <v>1.0986122886681098</v>
      </c>
    </row>
    <row r="65" spans="1:5" x14ac:dyDescent="0.25">
      <c r="A65" s="1" t="s">
        <v>1276</v>
      </c>
      <c r="B65" s="1">
        <f>B64/B63</f>
        <v>0.37925251685849887</v>
      </c>
      <c r="D65" s="1" t="s">
        <v>1276</v>
      </c>
      <c r="E65" s="1">
        <f>E64/E63</f>
        <v>0.42662481829150334</v>
      </c>
    </row>
    <row r="66" spans="1:5" x14ac:dyDescent="0.25">
      <c r="A66" s="1" t="s">
        <v>1277</v>
      </c>
      <c r="B66" s="1">
        <f>1.96*B65</f>
        <v>0.74333493304265774</v>
      </c>
      <c r="D66" s="1" t="s">
        <v>1277</v>
      </c>
      <c r="E66" s="1">
        <f>1.96*E65</f>
        <v>0.8361846438513465</v>
      </c>
    </row>
    <row r="67" spans="1:5" x14ac:dyDescent="0.25">
      <c r="A67" s="1" t="s">
        <v>1278</v>
      </c>
      <c r="B67" s="1">
        <f>B64-B66</f>
        <v>0.50942803545271031</v>
      </c>
      <c r="D67" s="1" t="s">
        <v>1278</v>
      </c>
      <c r="E67" s="1">
        <f>E64-E66</f>
        <v>0.26242764481676328</v>
      </c>
    </row>
    <row r="68" spans="1:5" x14ac:dyDescent="0.25">
      <c r="A68" s="1" t="s">
        <v>1279</v>
      </c>
      <c r="B68" s="1">
        <f>B64+B66</f>
        <v>1.9960979015380258</v>
      </c>
      <c r="D68" s="1" t="s">
        <v>1279</v>
      </c>
      <c r="E68" s="1">
        <f>E64+E66</f>
        <v>1.9347969325194563</v>
      </c>
    </row>
    <row r="69" spans="1:5" x14ac:dyDescent="0.25">
      <c r="A69" s="1" t="s">
        <v>1280</v>
      </c>
      <c r="B69" s="1">
        <f>EXP(B67)</f>
        <v>1.6643389797640855</v>
      </c>
      <c r="D69" s="1" t="s">
        <v>1280</v>
      </c>
      <c r="E69" s="1">
        <f>EXP(E67)</f>
        <v>1.3000823970652038</v>
      </c>
    </row>
    <row r="70" spans="1:5" x14ac:dyDescent="0.25">
      <c r="A70" s="1" t="s">
        <v>1281</v>
      </c>
      <c r="B70" s="1">
        <f>EXP(B68)</f>
        <v>7.3602794556529574</v>
      </c>
      <c r="D70" s="1" t="s">
        <v>1281</v>
      </c>
      <c r="E70" s="1">
        <f>EXP(E68)</f>
        <v>6.9226381499484448</v>
      </c>
    </row>
    <row r="72" spans="1:5" x14ac:dyDescent="0.25">
      <c r="A72" s="1" t="s">
        <v>1282</v>
      </c>
      <c r="B72" s="8" t="s">
        <v>1283</v>
      </c>
    </row>
    <row r="74" spans="1:5" x14ac:dyDescent="0.25">
      <c r="A74" s="4" t="s">
        <v>1284</v>
      </c>
    </row>
    <row r="76" spans="1:5" x14ac:dyDescent="0.25">
      <c r="A76" s="1" t="s">
        <v>1273</v>
      </c>
    </row>
    <row r="78" spans="1:5" x14ac:dyDescent="0.25">
      <c r="A78" s="1" t="s">
        <v>1274</v>
      </c>
      <c r="B78" s="1">
        <f>(-0.862)+SQRT(0.743-(2.404*LN(0.049)))</f>
        <v>1.9652438334913933</v>
      </c>
    </row>
    <row r="79" spans="1:5" x14ac:dyDescent="0.25">
      <c r="A79" s="1" t="s">
        <v>1275</v>
      </c>
      <c r="B79" s="1">
        <f>LN(1.26)</f>
        <v>0.23111172096338664</v>
      </c>
    </row>
    <row r="80" spans="1:5" x14ac:dyDescent="0.25">
      <c r="A80" s="1" t="s">
        <v>1276</v>
      </c>
      <c r="B80" s="1">
        <f>B79/B78</f>
        <v>0.11759951463773352</v>
      </c>
    </row>
    <row r="81" spans="1:8" x14ac:dyDescent="0.25">
      <c r="A81" s="1" t="s">
        <v>1277</v>
      </c>
      <c r="B81" s="1">
        <f>1.96*B80</f>
        <v>0.23049504868995771</v>
      </c>
    </row>
    <row r="82" spans="1:8" x14ac:dyDescent="0.25">
      <c r="A82" s="1" t="s">
        <v>1278</v>
      </c>
      <c r="B82" s="1">
        <f>B79-B81</f>
        <v>6.1667227342893094E-4</v>
      </c>
    </row>
    <row r="83" spans="1:8" x14ac:dyDescent="0.25">
      <c r="A83" s="1" t="s">
        <v>1279</v>
      </c>
      <c r="B83" s="1">
        <f>B79+B81</f>
        <v>0.46160676965334435</v>
      </c>
    </row>
    <row r="84" spans="1:8" x14ac:dyDescent="0.25">
      <c r="A84" s="1" t="s">
        <v>1280</v>
      </c>
      <c r="B84" s="1">
        <f>EXP(B82)</f>
        <v>1.0006168624548666</v>
      </c>
    </row>
    <row r="85" spans="1:8" x14ac:dyDescent="0.25">
      <c r="A85" s="1" t="s">
        <v>1281</v>
      </c>
      <c r="B85" s="1">
        <f>EXP(B83)</f>
        <v>1.5866212729066513</v>
      </c>
    </row>
    <row r="87" spans="1:8" x14ac:dyDescent="0.25">
      <c r="A87" s="4" t="s">
        <v>1285</v>
      </c>
    </row>
    <row r="89" spans="1:8" x14ac:dyDescent="0.25">
      <c r="A89" s="1" t="s">
        <v>1273</v>
      </c>
    </row>
    <row r="91" spans="1:8" x14ac:dyDescent="0.25">
      <c r="A91" s="1" t="s">
        <v>1286</v>
      </c>
      <c r="D91" s="1" t="s">
        <v>1287</v>
      </c>
      <c r="G91" s="1" t="s">
        <v>1288</v>
      </c>
    </row>
    <row r="92" spans="1:8" x14ac:dyDescent="0.25">
      <c r="A92" s="1" t="s">
        <v>1274</v>
      </c>
      <c r="B92" s="1">
        <f>(-0.862)+SQRT(0.743-(2.404*LN(0.073)))</f>
        <v>1.7903535198295728</v>
      </c>
      <c r="D92" s="1" t="s">
        <v>1274</v>
      </c>
      <c r="E92" s="1">
        <f>(-0.862)+SQRT(0.743-(2.404*LN(0.018)))</f>
        <v>2.3630255789203716</v>
      </c>
      <c r="G92" s="1" t="s">
        <v>1274</v>
      </c>
      <c r="H92" s="1">
        <f>(-0.862)+SQRT(0.743-(2.404*LN(0.043)))</f>
        <v>2.0202419420558249</v>
      </c>
    </row>
    <row r="93" spans="1:8" x14ac:dyDescent="0.25">
      <c r="A93" s="1" t="s">
        <v>1276</v>
      </c>
      <c r="B93" s="1">
        <f>1.32/B92</f>
        <v>0.73728455602760146</v>
      </c>
      <c r="D93" s="1" t="s">
        <v>1276</v>
      </c>
      <c r="E93" s="1">
        <f>0.86/E92</f>
        <v>0.36394019923936677</v>
      </c>
      <c r="G93" s="1" t="s">
        <v>1276</v>
      </c>
      <c r="H93" s="1">
        <f>1.37/H92</f>
        <v>0.67813659912726598</v>
      </c>
    </row>
    <row r="94" spans="1:8" x14ac:dyDescent="0.25">
      <c r="A94" s="1" t="s">
        <v>1277</v>
      </c>
      <c r="B94" s="1">
        <f>1.96*B93</f>
        <v>1.4450777298140989</v>
      </c>
      <c r="D94" s="1" t="s">
        <v>1277</v>
      </c>
      <c r="E94" s="1">
        <f>1.96*E93</f>
        <v>0.71332279050915881</v>
      </c>
      <c r="G94" s="1" t="s">
        <v>1277</v>
      </c>
      <c r="H94" s="1">
        <f>1.96*H93</f>
        <v>1.3291477342894413</v>
      </c>
    </row>
    <row r="95" spans="1:8" x14ac:dyDescent="0.25">
      <c r="A95" s="1" t="s">
        <v>1259</v>
      </c>
      <c r="B95" s="1">
        <f>1.32-B94</f>
        <v>-0.12507772981409881</v>
      </c>
      <c r="D95" s="1" t="s">
        <v>1259</v>
      </c>
      <c r="E95" s="1">
        <f>1.32-E94</f>
        <v>0.60667720949084125</v>
      </c>
      <c r="G95" s="1" t="s">
        <v>1259</v>
      </c>
      <c r="H95" s="1">
        <f>1.32-H94</f>
        <v>-9.1477342894412672E-3</v>
      </c>
    </row>
    <row r="96" spans="1:8" x14ac:dyDescent="0.25">
      <c r="A96" s="1" t="s">
        <v>1258</v>
      </c>
      <c r="B96" s="1">
        <f>1.32+B94</f>
        <v>2.7650777298140987</v>
      </c>
      <c r="D96" s="1" t="s">
        <v>1258</v>
      </c>
      <c r="E96" s="1">
        <f>1.32+E94</f>
        <v>2.0333227905091587</v>
      </c>
      <c r="G96" s="1" t="s">
        <v>1258</v>
      </c>
      <c r="H96" s="1">
        <f>1.32+H94</f>
        <v>2.6491477342894414</v>
      </c>
    </row>
    <row r="98" spans="1:5" x14ac:dyDescent="0.25">
      <c r="A98" s="1" t="s">
        <v>1289</v>
      </c>
    </row>
    <row r="100" spans="1:5" x14ac:dyDescent="0.25">
      <c r="B100" s="1" t="s">
        <v>1290</v>
      </c>
      <c r="C100" s="1" t="s">
        <v>1291</v>
      </c>
      <c r="D100" s="1" t="s">
        <v>1292</v>
      </c>
      <c r="E100" s="1" t="s">
        <v>1246</v>
      </c>
    </row>
    <row r="101" spans="1:5" x14ac:dyDescent="0.25">
      <c r="A101" s="1" t="s">
        <v>1249</v>
      </c>
      <c r="B101" s="1">
        <v>5</v>
      </c>
      <c r="C101" s="1">
        <f>E101-B101-D101</f>
        <v>15</v>
      </c>
      <c r="D101" s="1">
        <v>9</v>
      </c>
      <c r="E101" s="1">
        <v>29</v>
      </c>
    </row>
    <row r="102" spans="1:5" x14ac:dyDescent="0.25">
      <c r="A102" s="1" t="s">
        <v>1250</v>
      </c>
      <c r="B102" s="1">
        <f>B103-B101</f>
        <v>91</v>
      </c>
      <c r="C102" s="1">
        <f t="shared" ref="C102:D102" si="2">C103-C101</f>
        <v>111</v>
      </c>
      <c r="D102" s="1">
        <f t="shared" si="2"/>
        <v>983</v>
      </c>
      <c r="E102" s="1">
        <f>E103-E101</f>
        <v>1187</v>
      </c>
    </row>
    <row r="103" spans="1:5" x14ac:dyDescent="0.25">
      <c r="A103" s="1" t="s">
        <v>1246</v>
      </c>
      <c r="B103" s="1">
        <v>96</v>
      </c>
      <c r="C103" s="1">
        <v>126</v>
      </c>
      <c r="D103" s="1">
        <v>992</v>
      </c>
      <c r="E103" s="1">
        <v>1216</v>
      </c>
    </row>
    <row r="105" spans="1:5" x14ac:dyDescent="0.25">
      <c r="A105" s="4" t="s">
        <v>1293</v>
      </c>
    </row>
    <row r="107" spans="1:5" x14ac:dyDescent="0.25">
      <c r="B107" s="1" t="s">
        <v>541</v>
      </c>
      <c r="C107" s="1" t="s">
        <v>1262</v>
      </c>
    </row>
    <row r="108" spans="1:5" x14ac:dyDescent="0.25">
      <c r="A108" s="1" t="s">
        <v>1294</v>
      </c>
      <c r="B108" s="1">
        <v>66</v>
      </c>
      <c r="C108" s="1">
        <v>103</v>
      </c>
    </row>
    <row r="109" spans="1:5" x14ac:dyDescent="0.25">
      <c r="A109" s="1" t="s">
        <v>1250</v>
      </c>
      <c r="B109" s="1">
        <v>246</v>
      </c>
      <c r="C109" s="1">
        <v>537</v>
      </c>
    </row>
    <row r="111" spans="1:5" x14ac:dyDescent="0.25">
      <c r="A111" s="1" t="s">
        <v>1</v>
      </c>
      <c r="B111" s="1">
        <v>1.4</v>
      </c>
    </row>
    <row r="112" spans="1:5" x14ac:dyDescent="0.25">
      <c r="A112" s="1" t="s">
        <v>1258</v>
      </c>
      <c r="B112" s="1">
        <v>0.99</v>
      </c>
    </row>
    <row r="113" spans="1:17" x14ac:dyDescent="0.25">
      <c r="A113" s="1" t="s">
        <v>1259</v>
      </c>
      <c r="B113" s="1">
        <v>1.97</v>
      </c>
    </row>
    <row r="114" spans="1:17" x14ac:dyDescent="0.25">
      <c r="A114" s="1" t="s">
        <v>1260</v>
      </c>
      <c r="B114" s="1">
        <v>5.6000000000000001E-2</v>
      </c>
    </row>
    <row r="116" spans="1:17" x14ac:dyDescent="0.25">
      <c r="A116" s="4" t="s">
        <v>1295</v>
      </c>
    </row>
    <row r="118" spans="1:17" x14ac:dyDescent="0.25">
      <c r="B118" s="9" t="s">
        <v>1296</v>
      </c>
      <c r="C118" s="1" t="s">
        <v>1297</v>
      </c>
      <c r="F118" s="9" t="s">
        <v>1296</v>
      </c>
      <c r="G118" s="1" t="s">
        <v>1298</v>
      </c>
    </row>
    <row r="119" spans="1:17" x14ac:dyDescent="0.25">
      <c r="A119" s="1" t="s">
        <v>1249</v>
      </c>
      <c r="B119" s="1">
        <v>68</v>
      </c>
      <c r="C119" s="1">
        <v>160</v>
      </c>
      <c r="D119" s="1">
        <f>SUM(B119:C119)</f>
        <v>228</v>
      </c>
      <c r="E119" s="1" t="s">
        <v>1249</v>
      </c>
      <c r="F119" s="1">
        <v>68</v>
      </c>
      <c r="G119" s="1">
        <v>461</v>
      </c>
    </row>
    <row r="120" spans="1:17" x14ac:dyDescent="0.25">
      <c r="A120" s="1" t="s">
        <v>1250</v>
      </c>
      <c r="B120" s="1">
        <f>77-68</f>
        <v>9</v>
      </c>
      <c r="C120" s="1">
        <f>244-160</f>
        <v>84</v>
      </c>
      <c r="D120" s="1">
        <f>SUM(B120:C120)</f>
        <v>93</v>
      </c>
      <c r="E120" s="1" t="s">
        <v>1250</v>
      </c>
      <c r="F120" s="1">
        <f>77-68</f>
        <v>9</v>
      </c>
      <c r="G120" s="1">
        <f>655-461</f>
        <v>194</v>
      </c>
    </row>
    <row r="121" spans="1:17" x14ac:dyDescent="0.25">
      <c r="B121" s="1">
        <f>68/0.883</f>
        <v>77.010192525481315</v>
      </c>
      <c r="C121" s="1">
        <f>160/0.656</f>
        <v>243.90243902439025</v>
      </c>
      <c r="G121" s="1">
        <f>(160/0.656)+(102/0.713)+(199/0.743)</f>
        <v>654.79305154819826</v>
      </c>
    </row>
    <row r="122" spans="1:17" x14ac:dyDescent="0.25">
      <c r="L122" s="1">
        <f>(B119/D119)/(B120/D120)</f>
        <v>3.0818713450292399</v>
      </c>
    </row>
    <row r="123" spans="1:17" x14ac:dyDescent="0.25">
      <c r="A123" s="1" t="s">
        <v>1</v>
      </c>
      <c r="B123" s="1">
        <v>3.97</v>
      </c>
      <c r="E123" s="1" t="s">
        <v>1</v>
      </c>
      <c r="F123" s="1">
        <v>3.18</v>
      </c>
      <c r="L123" s="1">
        <f>(B119/C119)/(B120/C120)</f>
        <v>3.9666666666666668</v>
      </c>
    </row>
    <row r="124" spans="1:17" x14ac:dyDescent="0.25">
      <c r="A124" s="1" t="s">
        <v>1258</v>
      </c>
      <c r="B124" s="1">
        <v>1.89</v>
      </c>
      <c r="E124" s="1" t="s">
        <v>1258</v>
      </c>
      <c r="F124" s="1">
        <v>1.56</v>
      </c>
    </row>
    <row r="125" spans="1:17" x14ac:dyDescent="0.25">
      <c r="A125" s="1" t="s">
        <v>1259</v>
      </c>
      <c r="B125" s="1">
        <v>8.34</v>
      </c>
      <c r="E125" s="1" t="s">
        <v>1259</v>
      </c>
      <c r="F125" s="1">
        <v>6.5</v>
      </c>
    </row>
    <row r="126" spans="1:17" x14ac:dyDescent="0.25">
      <c r="A126" s="1" t="s">
        <v>1260</v>
      </c>
      <c r="B126" s="1" t="s">
        <v>60</v>
      </c>
      <c r="E126" s="1" t="s">
        <v>1260</v>
      </c>
      <c r="F126" s="1">
        <v>2E-3</v>
      </c>
      <c r="L126" s="1">
        <v>155</v>
      </c>
      <c r="M126" s="1">
        <v>188</v>
      </c>
      <c r="N126" s="1">
        <f>SUM(L126:M126)</f>
        <v>343</v>
      </c>
      <c r="O126" s="1">
        <f>(L126/M126)/(L127/M127)</f>
        <v>2.5483558994197293</v>
      </c>
      <c r="P126" s="1">
        <f>(L126/N126)/(L127/N127)</f>
        <v>1.8486615425390935</v>
      </c>
      <c r="Q126" s="1">
        <f>L126/N126</f>
        <v>0.45189504373177841</v>
      </c>
    </row>
    <row r="127" spans="1:17" x14ac:dyDescent="0.25">
      <c r="L127" s="1">
        <f>L128-L126</f>
        <v>33</v>
      </c>
      <c r="M127" s="1">
        <f>M128-M126</f>
        <v>102</v>
      </c>
      <c r="N127" s="1">
        <f t="shared" ref="N127:N128" si="3">SUM(L127:M127)</f>
        <v>135</v>
      </c>
      <c r="Q127" s="1">
        <f>L127/N127</f>
        <v>0.24444444444444444</v>
      </c>
    </row>
    <row r="128" spans="1:17" x14ac:dyDescent="0.25">
      <c r="B128" s="9" t="s">
        <v>1299</v>
      </c>
      <c r="C128" s="1" t="s">
        <v>1300</v>
      </c>
      <c r="F128" s="9" t="s">
        <v>1299</v>
      </c>
      <c r="G128" s="1" t="s">
        <v>1301</v>
      </c>
      <c r="L128" s="1">
        <v>188</v>
      </c>
      <c r="M128" s="1">
        <v>290</v>
      </c>
      <c r="N128" s="1">
        <f t="shared" si="3"/>
        <v>478</v>
      </c>
    </row>
    <row r="129" spans="1:12" x14ac:dyDescent="0.25">
      <c r="A129" s="1" t="s">
        <v>1249</v>
      </c>
      <c r="B129" s="1">
        <v>65</v>
      </c>
      <c r="C129" s="1">
        <v>309</v>
      </c>
      <c r="E129" s="1" t="s">
        <v>1249</v>
      </c>
      <c r="F129" s="1">
        <v>65</v>
      </c>
      <c r="G129" s="1">
        <f>309+96+57</f>
        <v>462</v>
      </c>
    </row>
    <row r="130" spans="1:12" x14ac:dyDescent="0.25">
      <c r="A130" s="1" t="s">
        <v>1250</v>
      </c>
      <c r="B130" s="1">
        <v>15</v>
      </c>
      <c r="C130" s="1">
        <f>442-309</f>
        <v>133</v>
      </c>
      <c r="E130" s="1" t="s">
        <v>1250</v>
      </c>
      <c r="F130" s="1">
        <v>15</v>
      </c>
      <c r="G130" s="1">
        <f>653-462</f>
        <v>191</v>
      </c>
      <c r="L130" s="1">
        <v>268</v>
      </c>
    </row>
    <row r="131" spans="1:12" x14ac:dyDescent="0.25">
      <c r="B131" s="1">
        <f>65/0.812</f>
        <v>80.049261083743843</v>
      </c>
      <c r="C131" s="1">
        <f>309/0.699</f>
        <v>442.06008583690988</v>
      </c>
      <c r="F131" s="1">
        <f>65/0.812</f>
        <v>80.049261083743843</v>
      </c>
      <c r="G131" s="1">
        <f>(309/0.699)+(96/0.733)+(57/0.712)</f>
        <v>653.08488771314569</v>
      </c>
    </row>
    <row r="133" spans="1:12" x14ac:dyDescent="0.25">
      <c r="A133" s="1" t="s">
        <v>1</v>
      </c>
      <c r="B133" s="1">
        <v>1.87</v>
      </c>
      <c r="E133" s="1" t="s">
        <v>1</v>
      </c>
      <c r="F133" s="1">
        <v>1.79</v>
      </c>
    </row>
    <row r="134" spans="1:12" x14ac:dyDescent="0.25">
      <c r="A134" s="1" t="s">
        <v>1258</v>
      </c>
      <c r="B134" s="1">
        <v>1.03</v>
      </c>
      <c r="E134" s="1" t="s">
        <v>1258</v>
      </c>
      <c r="F134" s="1">
        <v>1</v>
      </c>
    </row>
    <row r="135" spans="1:12" x14ac:dyDescent="0.25">
      <c r="A135" s="1" t="s">
        <v>1259</v>
      </c>
      <c r="B135" s="1">
        <v>3.39</v>
      </c>
      <c r="E135" s="1" t="s">
        <v>1259</v>
      </c>
      <c r="F135" s="1">
        <v>3.22</v>
      </c>
    </row>
    <row r="136" spans="1:12" x14ac:dyDescent="0.25">
      <c r="A136" s="1" t="s">
        <v>1260</v>
      </c>
      <c r="B136" s="1">
        <v>4.1000000000000002E-2</v>
      </c>
      <c r="E136" s="1" t="s">
        <v>1260</v>
      </c>
      <c r="F136" s="1">
        <v>5.0999999999999997E-2</v>
      </c>
    </row>
    <row r="138" spans="1:12" x14ac:dyDescent="0.25">
      <c r="B138" s="9" t="s">
        <v>1302</v>
      </c>
      <c r="C138" s="1" t="s">
        <v>1303</v>
      </c>
      <c r="F138" s="9" t="s">
        <v>1302</v>
      </c>
      <c r="G138" s="1" t="s">
        <v>1304</v>
      </c>
    </row>
    <row r="139" spans="1:12" x14ac:dyDescent="0.25">
      <c r="A139" s="1" t="s">
        <v>1249</v>
      </c>
      <c r="B139" s="1">
        <v>70</v>
      </c>
      <c r="C139" s="1">
        <v>434</v>
      </c>
      <c r="E139" s="1" t="s">
        <v>1249</v>
      </c>
      <c r="F139" s="1">
        <v>70</v>
      </c>
      <c r="G139" s="1">
        <f>343+29</f>
        <v>372</v>
      </c>
    </row>
    <row r="140" spans="1:12" x14ac:dyDescent="0.25">
      <c r="A140" s="1" t="s">
        <v>1250</v>
      </c>
      <c r="B140" s="1">
        <v>38</v>
      </c>
      <c r="C140" s="1">
        <f>589-434</f>
        <v>155</v>
      </c>
      <c r="E140" s="1" t="s">
        <v>1250</v>
      </c>
      <c r="F140" s="1">
        <v>38</v>
      </c>
      <c r="G140" s="1">
        <f>510-G139</f>
        <v>138</v>
      </c>
    </row>
    <row r="141" spans="1:12" x14ac:dyDescent="0.25">
      <c r="B141" s="1">
        <f>70/0.648</f>
        <v>108.02469135802468</v>
      </c>
      <c r="C141" s="1">
        <f>434/0.737</f>
        <v>588.87381275440976</v>
      </c>
      <c r="F141" s="1">
        <f>70/0.648</f>
        <v>108.02469135802468</v>
      </c>
      <c r="G141" s="1">
        <f>(434/0.737)+(29/0.644)</f>
        <v>633.9048686550309</v>
      </c>
    </row>
    <row r="143" spans="1:12" x14ac:dyDescent="0.25">
      <c r="A143" s="1" t="s">
        <v>1</v>
      </c>
      <c r="B143" s="1">
        <v>0.66</v>
      </c>
      <c r="E143" s="1" t="s">
        <v>1</v>
      </c>
      <c r="F143" s="1">
        <v>0.68</v>
      </c>
    </row>
    <row r="144" spans="1:12" x14ac:dyDescent="0.25">
      <c r="A144" s="1" t="s">
        <v>1258</v>
      </c>
      <c r="B144" s="1">
        <v>0.43</v>
      </c>
      <c r="E144" s="1" t="s">
        <v>1258</v>
      </c>
      <c r="F144" s="1">
        <v>0.44</v>
      </c>
    </row>
    <row r="145" spans="1:7" x14ac:dyDescent="0.25">
      <c r="A145" s="1" t="s">
        <v>1259</v>
      </c>
      <c r="B145" s="1">
        <v>1.02</v>
      </c>
      <c r="E145" s="1" t="s">
        <v>1259</v>
      </c>
      <c r="F145" s="1">
        <v>1.06</v>
      </c>
    </row>
    <row r="146" spans="1:7" x14ac:dyDescent="0.25">
      <c r="A146" s="1" t="s">
        <v>1260</v>
      </c>
      <c r="B146" s="1">
        <v>0.06</v>
      </c>
      <c r="E146" s="1" t="s">
        <v>1260</v>
      </c>
      <c r="F146" s="1">
        <v>0.09</v>
      </c>
    </row>
    <row r="148" spans="1:7" x14ac:dyDescent="0.25">
      <c r="A148" s="4" t="s">
        <v>1305</v>
      </c>
    </row>
    <row r="150" spans="1:7" x14ac:dyDescent="0.25">
      <c r="B150" s="9" t="s">
        <v>1306</v>
      </c>
      <c r="C150" s="1" t="s">
        <v>1307</v>
      </c>
      <c r="F150" s="9" t="s">
        <v>762</v>
      </c>
      <c r="G150" s="1" t="s">
        <v>1308</v>
      </c>
    </row>
    <row r="151" spans="1:7" x14ac:dyDescent="0.25">
      <c r="A151" s="1" t="s">
        <v>1309</v>
      </c>
      <c r="B151" s="1">
        <v>879</v>
      </c>
      <c r="C151" s="1">
        <v>230</v>
      </c>
      <c r="E151" s="1" t="s">
        <v>1309</v>
      </c>
      <c r="F151" s="1">
        <v>228</v>
      </c>
      <c r="G151" s="1">
        <v>881</v>
      </c>
    </row>
    <row r="152" spans="1:7" x14ac:dyDescent="0.25">
      <c r="A152" s="1" t="s">
        <v>1310</v>
      </c>
      <c r="B152" s="1">
        <f>B153-B151</f>
        <v>152</v>
      </c>
      <c r="C152" s="1">
        <f>C153-C151</f>
        <v>32</v>
      </c>
      <c r="E152" s="1" t="s">
        <v>1310</v>
      </c>
      <c r="F152" s="1">
        <f>F153-F151</f>
        <v>45</v>
      </c>
      <c r="G152" s="1">
        <f>G153-G151</f>
        <v>139</v>
      </c>
    </row>
    <row r="153" spans="1:7" x14ac:dyDescent="0.25">
      <c r="B153" s="1">
        <v>1031</v>
      </c>
      <c r="C153" s="1">
        <v>262</v>
      </c>
      <c r="F153" s="1">
        <v>273</v>
      </c>
      <c r="G153" s="1">
        <v>1020</v>
      </c>
    </row>
    <row r="155" spans="1:7" x14ac:dyDescent="0.25">
      <c r="A155" s="1" t="s">
        <v>1</v>
      </c>
      <c r="B155" s="1">
        <v>0.8</v>
      </c>
      <c r="E155" s="1" t="s">
        <v>1</v>
      </c>
      <c r="F155" s="1">
        <v>0.8</v>
      </c>
    </row>
    <row r="156" spans="1:7" x14ac:dyDescent="0.25">
      <c r="A156" s="1" t="s">
        <v>1258</v>
      </c>
      <c r="B156" s="1">
        <v>0.54</v>
      </c>
      <c r="E156" s="1" t="s">
        <v>1258</v>
      </c>
      <c r="F156" s="1">
        <v>0.55000000000000004</v>
      </c>
    </row>
    <row r="157" spans="1:7" x14ac:dyDescent="0.25">
      <c r="A157" s="1" t="s">
        <v>1259</v>
      </c>
      <c r="B157" s="1">
        <v>1.21</v>
      </c>
      <c r="E157" s="1" t="s">
        <v>1259</v>
      </c>
      <c r="F157" s="1">
        <v>1.1499999999999999</v>
      </c>
    </row>
    <row r="158" spans="1:7" x14ac:dyDescent="0.25">
      <c r="A158" s="1" t="s">
        <v>1260</v>
      </c>
      <c r="B158" s="1">
        <v>0.29599999999999999</v>
      </c>
      <c r="E158" s="1" t="s">
        <v>1260</v>
      </c>
      <c r="F158" s="1">
        <v>0.23100000000000001</v>
      </c>
    </row>
    <row r="160" spans="1:7" x14ac:dyDescent="0.25">
      <c r="B160" s="9" t="s">
        <v>1306</v>
      </c>
      <c r="C160" s="1" t="s">
        <v>1307</v>
      </c>
      <c r="F160" s="9" t="s">
        <v>762</v>
      </c>
      <c r="G160" s="1" t="s">
        <v>1308</v>
      </c>
    </row>
    <row r="161" spans="1:7" x14ac:dyDescent="0.25">
      <c r="A161" s="1" t="s">
        <v>1311</v>
      </c>
      <c r="B161" s="1">
        <v>742</v>
      </c>
      <c r="C161" s="1">
        <v>194</v>
      </c>
      <c r="E161" s="1" t="s">
        <v>1311</v>
      </c>
      <c r="F161" s="1">
        <v>189</v>
      </c>
      <c r="G161" s="1">
        <v>747</v>
      </c>
    </row>
    <row r="162" spans="1:7" x14ac:dyDescent="0.25">
      <c r="A162" s="1" t="s">
        <v>1312</v>
      </c>
      <c r="B162" s="1">
        <f>B163-B161</f>
        <v>137</v>
      </c>
      <c r="C162" s="1">
        <f>C163-C161</f>
        <v>36</v>
      </c>
      <c r="E162" s="1" t="s">
        <v>1312</v>
      </c>
      <c r="F162" s="1">
        <f>F163-F161</f>
        <v>39</v>
      </c>
      <c r="G162" s="1">
        <f>G163-G161</f>
        <v>134</v>
      </c>
    </row>
    <row r="163" spans="1:7" x14ac:dyDescent="0.25">
      <c r="B163" s="1">
        <v>879</v>
      </c>
      <c r="C163" s="1">
        <v>230</v>
      </c>
      <c r="F163" s="1">
        <v>228</v>
      </c>
      <c r="G163" s="1">
        <v>881</v>
      </c>
    </row>
    <row r="165" spans="1:7" x14ac:dyDescent="0.25">
      <c r="A165" s="1" t="s">
        <v>1</v>
      </c>
      <c r="B165" s="1">
        <v>1.01</v>
      </c>
      <c r="E165" s="1" t="s">
        <v>1</v>
      </c>
      <c r="F165" s="1">
        <v>0.87</v>
      </c>
    </row>
    <row r="166" spans="1:7" x14ac:dyDescent="0.25">
      <c r="A166" s="1" t="s">
        <v>1258</v>
      </c>
      <c r="B166" s="1">
        <v>0.67</v>
      </c>
      <c r="E166" s="1" t="s">
        <v>1258</v>
      </c>
      <c r="F166" s="1">
        <v>0.59</v>
      </c>
    </row>
    <row r="167" spans="1:7" x14ac:dyDescent="0.25">
      <c r="A167" s="1" t="s">
        <v>1259</v>
      </c>
      <c r="B167" s="1">
        <v>1.5</v>
      </c>
      <c r="E167" s="1" t="s">
        <v>1259</v>
      </c>
      <c r="F167" s="1">
        <v>1.28</v>
      </c>
    </row>
    <row r="168" spans="1:7" x14ac:dyDescent="0.25">
      <c r="A168" s="1" t="s">
        <v>1260</v>
      </c>
      <c r="B168" s="1">
        <v>0.98</v>
      </c>
      <c r="E168" s="1" t="s">
        <v>1260</v>
      </c>
      <c r="F168" s="1">
        <v>0.48199999999999998</v>
      </c>
    </row>
    <row r="170" spans="1:7" x14ac:dyDescent="0.25">
      <c r="A170" s="4" t="s">
        <v>1313</v>
      </c>
    </row>
    <row r="172" spans="1:7" x14ac:dyDescent="0.25">
      <c r="B172" s="1" t="s">
        <v>1247</v>
      </c>
      <c r="C172" s="1" t="s">
        <v>1248</v>
      </c>
    </row>
    <row r="173" spans="1:7" x14ac:dyDescent="0.25">
      <c r="A173" s="1" t="s">
        <v>1309</v>
      </c>
      <c r="B173" s="1">
        <v>32</v>
      </c>
      <c r="C173" s="1">
        <v>196</v>
      </c>
    </row>
    <row r="174" spans="1:7" x14ac:dyDescent="0.25">
      <c r="A174" s="1" t="s">
        <v>1310</v>
      </c>
      <c r="B174" s="1">
        <f>B175-B173</f>
        <v>20</v>
      </c>
      <c r="C174" s="1">
        <f>C175-C173</f>
        <v>109</v>
      </c>
    </row>
    <row r="175" spans="1:7" x14ac:dyDescent="0.25">
      <c r="B175" s="1">
        <v>52</v>
      </c>
      <c r="C175" s="1">
        <v>305</v>
      </c>
    </row>
    <row r="177" spans="1:6" x14ac:dyDescent="0.25">
      <c r="A177" s="1" t="s">
        <v>1</v>
      </c>
      <c r="B177" s="1">
        <v>0.89</v>
      </c>
    </row>
    <row r="178" spans="1:6" x14ac:dyDescent="0.25">
      <c r="A178" s="1" t="s">
        <v>1258</v>
      </c>
      <c r="B178" s="1">
        <v>0.49</v>
      </c>
    </row>
    <row r="179" spans="1:6" x14ac:dyDescent="0.25">
      <c r="A179" s="1" t="s">
        <v>1259</v>
      </c>
      <c r="B179" s="1">
        <v>1.63</v>
      </c>
    </row>
    <row r="180" spans="1:6" x14ac:dyDescent="0.25">
      <c r="A180" s="1" t="s">
        <v>1260</v>
      </c>
      <c r="B180" s="1">
        <v>0.70599999999999996</v>
      </c>
    </row>
    <row r="182" spans="1:6" x14ac:dyDescent="0.25">
      <c r="A182" s="4" t="s">
        <v>1313</v>
      </c>
    </row>
    <row r="183" spans="1:6" x14ac:dyDescent="0.25">
      <c r="B183" s="1" t="s">
        <v>1247</v>
      </c>
      <c r="C183" s="1" t="s">
        <v>1248</v>
      </c>
      <c r="E183" s="1" t="s">
        <v>1</v>
      </c>
      <c r="F183" s="1">
        <v>4.42</v>
      </c>
    </row>
    <row r="184" spans="1:6" x14ac:dyDescent="0.25">
      <c r="A184" s="1" t="s">
        <v>1311</v>
      </c>
      <c r="B184" s="1">
        <v>85</v>
      </c>
      <c r="C184" s="1">
        <f>C186-C185</f>
        <v>417</v>
      </c>
      <c r="E184" s="1" t="s">
        <v>1258</v>
      </c>
      <c r="F184" s="1">
        <v>1.36</v>
      </c>
    </row>
    <row r="185" spans="1:6" x14ac:dyDescent="0.25">
      <c r="A185" s="1" t="s">
        <v>1312</v>
      </c>
      <c r="B185" s="1">
        <v>3</v>
      </c>
      <c r="C185" s="1">
        <v>65</v>
      </c>
      <c r="E185" s="1" t="s">
        <v>1259</v>
      </c>
      <c r="F185" s="1">
        <v>14.38</v>
      </c>
    </row>
    <row r="186" spans="1:6" x14ac:dyDescent="0.25">
      <c r="B186" s="1">
        <v>88</v>
      </c>
      <c r="C186" s="1">
        <v>482</v>
      </c>
      <c r="E186" s="1" t="s">
        <v>1260</v>
      </c>
      <c r="F186" s="1">
        <v>1.4E-2</v>
      </c>
    </row>
    <row r="188" spans="1:6" x14ac:dyDescent="0.25">
      <c r="B188" s="1" t="s">
        <v>654</v>
      </c>
      <c r="C188" s="1" t="s">
        <v>1258</v>
      </c>
      <c r="D188" s="1" t="s">
        <v>1259</v>
      </c>
    </row>
    <row r="189" spans="1:6" x14ac:dyDescent="0.25">
      <c r="A189" s="1" t="s">
        <v>1512</v>
      </c>
      <c r="B189" s="10">
        <f>1/0.21</f>
        <v>4.7619047619047619</v>
      </c>
      <c r="C189" s="10">
        <f>1/0.84</f>
        <v>1.1904761904761905</v>
      </c>
      <c r="D189" s="10">
        <f>1/0.05</f>
        <v>20</v>
      </c>
    </row>
    <row r="190" spans="1:6" x14ac:dyDescent="0.25">
      <c r="A190" s="1" t="s">
        <v>1514</v>
      </c>
      <c r="B190" s="10">
        <f>1/0.84</f>
        <v>1.1904761904761905</v>
      </c>
      <c r="C190" s="10">
        <f>1/1.14</f>
        <v>0.87719298245614041</v>
      </c>
      <c r="D190" s="10">
        <f>1/0.61</f>
        <v>1.639344262295082</v>
      </c>
    </row>
    <row r="191" spans="1:6" x14ac:dyDescent="0.25">
      <c r="A191" s="1" t="s">
        <v>1513</v>
      </c>
      <c r="B191" s="10">
        <f>1/1.58</f>
        <v>0.63291139240506322</v>
      </c>
      <c r="C191" s="10">
        <f>1/4.74</f>
        <v>0.21097046413502107</v>
      </c>
      <c r="D191" s="10">
        <f>1/0.52</f>
        <v>1.9230769230769229</v>
      </c>
    </row>
    <row r="194" spans="1:6" x14ac:dyDescent="0.25">
      <c r="A194" s="4" t="s">
        <v>1314</v>
      </c>
    </row>
    <row r="196" spans="1:6" x14ac:dyDescent="0.25">
      <c r="B196" s="1" t="s">
        <v>1188</v>
      </c>
      <c r="C196" s="1" t="s">
        <v>1315</v>
      </c>
    </row>
    <row r="197" spans="1:6" x14ac:dyDescent="0.25">
      <c r="A197" s="1" t="s">
        <v>1249</v>
      </c>
      <c r="B197" s="1">
        <v>37</v>
      </c>
      <c r="C197" s="1">
        <v>273</v>
      </c>
      <c r="D197" s="1">
        <f>C197+B197</f>
        <v>310</v>
      </c>
      <c r="E197" s="7">
        <f>D197/C199</f>
        <v>0.18160515524311657</v>
      </c>
      <c r="F197" s="7">
        <f>B199/(B199+C199)</f>
        <v>5.898566703417861E-2</v>
      </c>
    </row>
    <row r="198" spans="1:6" x14ac:dyDescent="0.25">
      <c r="A198" s="1" t="s">
        <v>1250</v>
      </c>
      <c r="B198" s="1">
        <v>70</v>
      </c>
      <c r="C198" s="1">
        <f>C199-C197</f>
        <v>1434</v>
      </c>
    </row>
    <row r="199" spans="1:6" x14ac:dyDescent="0.25">
      <c r="B199" s="1">
        <v>107</v>
      </c>
      <c r="C199" s="1">
        <v>1707</v>
      </c>
    </row>
    <row r="201" spans="1:6" x14ac:dyDescent="0.25">
      <c r="A201" s="1" t="s">
        <v>1</v>
      </c>
    </row>
    <row r="202" spans="1:6" x14ac:dyDescent="0.25">
      <c r="A202" s="1" t="s">
        <v>1258</v>
      </c>
    </row>
    <row r="203" spans="1:6" x14ac:dyDescent="0.25">
      <c r="A203" s="1" t="s">
        <v>1259</v>
      </c>
    </row>
    <row r="204" spans="1:6" x14ac:dyDescent="0.25">
      <c r="A204" s="1" t="s">
        <v>1260</v>
      </c>
    </row>
    <row r="206" spans="1:6" x14ac:dyDescent="0.25">
      <c r="A206" s="4" t="s">
        <v>1316</v>
      </c>
    </row>
    <row r="208" spans="1:6" x14ac:dyDescent="0.25">
      <c r="A208" s="1" t="s">
        <v>1273</v>
      </c>
    </row>
    <row r="210" spans="1:20" x14ac:dyDescent="0.25">
      <c r="A210" s="1" t="s">
        <v>1274</v>
      </c>
      <c r="B210" s="1">
        <f>(-0.862)+SQRT(0.743-(2.404*LN(0.049)))</f>
        <v>1.9652438334913933</v>
      </c>
    </row>
    <row r="211" spans="1:20" x14ac:dyDescent="0.25">
      <c r="A211" s="1" t="s">
        <v>1275</v>
      </c>
      <c r="B211" s="1">
        <f>LN(3.127)</f>
        <v>1.1400740784757042</v>
      </c>
    </row>
    <row r="212" spans="1:20" x14ac:dyDescent="0.25">
      <c r="A212" s="1" t="s">
        <v>1276</v>
      </c>
      <c r="B212" s="1">
        <f>B211/B210</f>
        <v>0.58011838482672284</v>
      </c>
    </row>
    <row r="213" spans="1:20" x14ac:dyDescent="0.25">
      <c r="A213" s="1" t="s">
        <v>1277</v>
      </c>
      <c r="B213" s="1">
        <f>1.96*B212</f>
        <v>1.1370320342603768</v>
      </c>
    </row>
    <row r="214" spans="1:20" x14ac:dyDescent="0.25">
      <c r="A214" s="1" t="s">
        <v>1278</v>
      </c>
      <c r="B214" s="1">
        <f>B211-B213</f>
        <v>3.0420442153273886E-3</v>
      </c>
    </row>
    <row r="215" spans="1:20" x14ac:dyDescent="0.25">
      <c r="A215" s="1" t="s">
        <v>1279</v>
      </c>
      <c r="B215" s="1">
        <f>B211+B213</f>
        <v>2.2771061127360808</v>
      </c>
    </row>
    <row r="216" spans="1:20" x14ac:dyDescent="0.25">
      <c r="A216" s="1" t="s">
        <v>1280</v>
      </c>
      <c r="B216" s="1">
        <f>EXP(B214)</f>
        <v>1.0030466759272647</v>
      </c>
    </row>
    <row r="217" spans="1:20" x14ac:dyDescent="0.25">
      <c r="A217" s="1" t="s">
        <v>1281</v>
      </c>
      <c r="B217" s="1">
        <f>EXP(B215)</f>
        <v>9.7484286969603122</v>
      </c>
    </row>
    <row r="219" spans="1:20" x14ac:dyDescent="0.25">
      <c r="A219" s="1" t="s">
        <v>1282</v>
      </c>
      <c r="B219" s="8" t="s">
        <v>1283</v>
      </c>
    </row>
    <row r="221" spans="1:20" x14ac:dyDescent="0.25">
      <c r="A221" s="4" t="s">
        <v>1317</v>
      </c>
    </row>
    <row r="223" spans="1:20" x14ac:dyDescent="0.25">
      <c r="B223" s="1" t="s">
        <v>1318</v>
      </c>
      <c r="C223" s="1" t="s">
        <v>1319</v>
      </c>
      <c r="F223" s="1" t="s">
        <v>1320</v>
      </c>
      <c r="G223" s="1" t="s">
        <v>1319</v>
      </c>
      <c r="J223" s="1" t="s">
        <v>1321</v>
      </c>
      <c r="K223" s="1" t="s">
        <v>1319</v>
      </c>
      <c r="N223" s="1" t="s">
        <v>256</v>
      </c>
      <c r="O223" s="1" t="s">
        <v>1319</v>
      </c>
      <c r="R223" s="1" t="s">
        <v>256</v>
      </c>
      <c r="S223" s="1" t="s">
        <v>1319</v>
      </c>
    </row>
    <row r="224" spans="1:20" x14ac:dyDescent="0.25">
      <c r="A224" s="1" t="s">
        <v>1249</v>
      </c>
      <c r="B224" s="1">
        <v>2</v>
      </c>
      <c r="C224" s="1">
        <v>32</v>
      </c>
      <c r="E224" s="1" t="s">
        <v>1249</v>
      </c>
      <c r="F224" s="1">
        <v>4</v>
      </c>
      <c r="G224" s="1">
        <v>32</v>
      </c>
      <c r="I224" s="1" t="s">
        <v>1249</v>
      </c>
      <c r="J224" s="1">
        <v>25</v>
      </c>
      <c r="K224" s="1">
        <v>32</v>
      </c>
      <c r="M224" s="1" t="s">
        <v>1249</v>
      </c>
      <c r="N224" s="1">
        <f>SUM(J224,F224,B224)</f>
        <v>31</v>
      </c>
      <c r="O224" s="1">
        <v>32</v>
      </c>
      <c r="Q224" s="1" t="s">
        <v>1249</v>
      </c>
      <c r="R224" s="1">
        <f>2+4+25</f>
        <v>31</v>
      </c>
      <c r="S224" s="1">
        <v>32</v>
      </c>
      <c r="T224" s="1">
        <f t="shared" ref="T224:T225" si="4">SUM(R224:S224)</f>
        <v>63</v>
      </c>
    </row>
    <row r="225" spans="1:20" x14ac:dyDescent="0.25">
      <c r="A225" s="1" t="s">
        <v>1250</v>
      </c>
      <c r="B225" s="1">
        <v>35</v>
      </c>
      <c r="C225" s="1">
        <v>807</v>
      </c>
      <c r="E225" s="1" t="s">
        <v>1250</v>
      </c>
      <c r="F225" s="1">
        <v>326</v>
      </c>
      <c r="G225" s="1">
        <v>807</v>
      </c>
      <c r="I225" s="1" t="s">
        <v>1250</v>
      </c>
      <c r="J225" s="1">
        <v>925</v>
      </c>
      <c r="K225" s="1">
        <v>807</v>
      </c>
      <c r="M225" s="1" t="s">
        <v>1250</v>
      </c>
      <c r="N225" s="1">
        <f>SUM(J225,F225,B225)</f>
        <v>1286</v>
      </c>
      <c r="O225" s="1">
        <v>807</v>
      </c>
      <c r="Q225" s="1" t="s">
        <v>1250</v>
      </c>
      <c r="R225" s="1">
        <f>35+326+925</f>
        <v>1286</v>
      </c>
      <c r="S225" s="1">
        <v>807</v>
      </c>
      <c r="T225" s="1">
        <f t="shared" si="4"/>
        <v>2093</v>
      </c>
    </row>
    <row r="226" spans="1:20" x14ac:dyDescent="0.25">
      <c r="A226" s="1" t="s">
        <v>1246</v>
      </c>
      <c r="B226" s="1">
        <f>SUM(B224:B225)</f>
        <v>37</v>
      </c>
      <c r="C226" s="1">
        <f t="shared" ref="C226:S226" si="5">SUM(C224:C225)</f>
        <v>839</v>
      </c>
      <c r="D226" s="1">
        <f>SUM(B226:C226)</f>
        <v>876</v>
      </c>
      <c r="F226" s="1">
        <f t="shared" si="5"/>
        <v>330</v>
      </c>
      <c r="G226" s="1">
        <f t="shared" si="5"/>
        <v>839</v>
      </c>
      <c r="H226" s="1">
        <f>SUM(F226:G226)</f>
        <v>1169</v>
      </c>
      <c r="J226" s="1">
        <f t="shared" si="5"/>
        <v>950</v>
      </c>
      <c r="K226" s="1">
        <f t="shared" si="5"/>
        <v>839</v>
      </c>
      <c r="L226" s="1">
        <f>SUM(J226:K226)</f>
        <v>1789</v>
      </c>
      <c r="N226" s="1">
        <f t="shared" si="5"/>
        <v>1317</v>
      </c>
      <c r="O226" s="1">
        <f t="shared" si="5"/>
        <v>839</v>
      </c>
      <c r="P226" s="1">
        <f>SUM(N226:O226)</f>
        <v>2156</v>
      </c>
      <c r="R226" s="1">
        <f t="shared" si="5"/>
        <v>1317</v>
      </c>
      <c r="S226" s="1">
        <f t="shared" si="5"/>
        <v>839</v>
      </c>
      <c r="T226" s="1">
        <f>SUM(R226:S226)</f>
        <v>2156</v>
      </c>
    </row>
    <row r="228" spans="1:20" x14ac:dyDescent="0.25">
      <c r="A228" s="1" t="s">
        <v>1</v>
      </c>
      <c r="B228" s="1">
        <v>1.44</v>
      </c>
      <c r="E228" s="1" t="s">
        <v>1</v>
      </c>
      <c r="F228" s="10">
        <v>0.31</v>
      </c>
      <c r="I228" s="1" t="s">
        <v>1</v>
      </c>
      <c r="J228" s="1">
        <v>0.68</v>
      </c>
      <c r="M228" s="1" t="s">
        <v>1</v>
      </c>
      <c r="N228" s="1">
        <v>0.61</v>
      </c>
      <c r="Q228" s="1" t="s">
        <v>1</v>
      </c>
      <c r="R228" s="1">
        <f>(R224/S224)/(R225/S225)</f>
        <v>0.60791699066874028</v>
      </c>
    </row>
    <row r="229" spans="1:20" x14ac:dyDescent="0.25">
      <c r="A229" s="1" t="s">
        <v>1258</v>
      </c>
      <c r="B229" s="1">
        <v>0.33</v>
      </c>
      <c r="E229" s="1" t="s">
        <v>1258</v>
      </c>
      <c r="F229" s="1">
        <v>0.11</v>
      </c>
      <c r="I229" s="1" t="s">
        <v>1258</v>
      </c>
      <c r="J229" s="1">
        <v>0.4</v>
      </c>
      <c r="M229" s="1" t="s">
        <v>1258</v>
      </c>
      <c r="N229" s="1">
        <v>0.37</v>
      </c>
      <c r="Q229" s="1" t="s">
        <v>1258</v>
      </c>
      <c r="R229" s="1">
        <v>0.37</v>
      </c>
    </row>
    <row r="230" spans="1:20" x14ac:dyDescent="0.25">
      <c r="A230" s="1" t="s">
        <v>1259</v>
      </c>
      <c r="B230" s="1">
        <v>6.26</v>
      </c>
      <c r="E230" s="1" t="s">
        <v>1259</v>
      </c>
      <c r="F230" s="1">
        <v>0.88</v>
      </c>
      <c r="I230" s="1" t="s">
        <v>1259</v>
      </c>
      <c r="J230" s="1">
        <v>1.1599999999999999</v>
      </c>
      <c r="M230" s="1" t="s">
        <v>1259</v>
      </c>
      <c r="N230" s="10">
        <v>1</v>
      </c>
      <c r="Q230" s="1" t="s">
        <v>1259</v>
      </c>
      <c r="R230" s="10">
        <v>1</v>
      </c>
    </row>
    <row r="231" spans="1:20" x14ac:dyDescent="0.25">
      <c r="A231" s="1" t="s">
        <v>1260</v>
      </c>
      <c r="B231" s="1">
        <v>0.626</v>
      </c>
      <c r="E231" s="1" t="s">
        <v>1260</v>
      </c>
      <c r="F231" s="1">
        <v>2.8000000000000001E-2</v>
      </c>
      <c r="I231" s="1" t="s">
        <v>1260</v>
      </c>
      <c r="J231" s="1">
        <v>0.158</v>
      </c>
      <c r="M231" s="1" t="s">
        <v>1260</v>
      </c>
      <c r="N231" s="1">
        <v>5.1999999999999998E-2</v>
      </c>
      <c r="Q231" s="1" t="s">
        <v>1260</v>
      </c>
      <c r="R231" s="1">
        <v>5.1999999999999998E-2</v>
      </c>
    </row>
    <row r="233" spans="1:20" x14ac:dyDescent="0.25">
      <c r="A233" s="4" t="s">
        <v>1322</v>
      </c>
    </row>
    <row r="235" spans="1:20" x14ac:dyDescent="0.25">
      <c r="B235" s="1" t="s">
        <v>831</v>
      </c>
      <c r="C235" s="1" t="s">
        <v>1323</v>
      </c>
      <c r="F235" s="1" t="s">
        <v>1324</v>
      </c>
      <c r="G235" s="1" t="s">
        <v>1325</v>
      </c>
      <c r="J235" s="1" t="s">
        <v>1326</v>
      </c>
      <c r="K235" s="1" t="s">
        <v>1248</v>
      </c>
    </row>
    <row r="236" spans="1:20" x14ac:dyDescent="0.25">
      <c r="A236" s="1" t="s">
        <v>1249</v>
      </c>
      <c r="B236" s="1">
        <v>63</v>
      </c>
      <c r="C236" s="1">
        <f>177-B236</f>
        <v>114</v>
      </c>
      <c r="E236" s="1" t="s">
        <v>1249</v>
      </c>
      <c r="F236" s="1">
        <v>48</v>
      </c>
      <c r="G236" s="1">
        <f>177-F236</f>
        <v>129</v>
      </c>
      <c r="I236" s="1" t="s">
        <v>1249</v>
      </c>
      <c r="J236" s="1">
        <v>75</v>
      </c>
      <c r="K236" s="1">
        <f>177-J236</f>
        <v>102</v>
      </c>
    </row>
    <row r="237" spans="1:20" x14ac:dyDescent="0.25">
      <c r="A237" s="1" t="s">
        <v>1250</v>
      </c>
      <c r="B237" s="1">
        <f>B238-B236</f>
        <v>286</v>
      </c>
      <c r="C237" s="1">
        <f>C238-C236</f>
        <v>497</v>
      </c>
      <c r="E237" s="1" t="s">
        <v>1250</v>
      </c>
      <c r="F237" s="1">
        <f>F238-F236</f>
        <v>240</v>
      </c>
      <c r="G237" s="1">
        <f>G238-G236</f>
        <v>543</v>
      </c>
      <c r="I237" s="1" t="s">
        <v>1250</v>
      </c>
      <c r="J237" s="1">
        <f>J238-J236</f>
        <v>380</v>
      </c>
      <c r="K237" s="1">
        <f>K238-K236</f>
        <v>403</v>
      </c>
    </row>
    <row r="238" spans="1:20" x14ac:dyDescent="0.25">
      <c r="B238" s="1">
        <v>349</v>
      </c>
      <c r="C238" s="1">
        <f>960-349</f>
        <v>611</v>
      </c>
      <c r="D238" s="1">
        <f>960</f>
        <v>960</v>
      </c>
      <c r="F238" s="1">
        <v>288</v>
      </c>
      <c r="G238" s="1">
        <f>960-F238</f>
        <v>672</v>
      </c>
      <c r="J238" s="1">
        <v>455</v>
      </c>
      <c r="K238" s="1">
        <f>960-J238</f>
        <v>505</v>
      </c>
    </row>
    <row r="240" spans="1:20" x14ac:dyDescent="0.25">
      <c r="A240" s="1" t="s">
        <v>1</v>
      </c>
      <c r="B240" s="1">
        <v>0.96</v>
      </c>
      <c r="E240" s="1" t="s">
        <v>1</v>
      </c>
      <c r="F240" s="1">
        <v>0.84</v>
      </c>
      <c r="I240" s="1" t="s">
        <v>1</v>
      </c>
      <c r="J240" s="1">
        <v>0.78</v>
      </c>
    </row>
    <row r="241" spans="1:10" x14ac:dyDescent="0.25">
      <c r="A241" s="1" t="s">
        <v>1258</v>
      </c>
      <c r="B241" s="1">
        <v>0.68</v>
      </c>
      <c r="E241" s="1" t="s">
        <v>1258</v>
      </c>
      <c r="F241" s="1">
        <v>0.57999999999999996</v>
      </c>
      <c r="I241" s="1" t="s">
        <v>1258</v>
      </c>
      <c r="J241" s="1">
        <v>0.56000000000000005</v>
      </c>
    </row>
    <row r="242" spans="1:10" x14ac:dyDescent="0.25">
      <c r="A242" s="1" t="s">
        <v>1259</v>
      </c>
      <c r="B242" s="1">
        <v>1.35</v>
      </c>
      <c r="E242" s="1" t="s">
        <v>1259</v>
      </c>
      <c r="F242" s="1">
        <v>1.21</v>
      </c>
      <c r="I242" s="1" t="s">
        <v>1259</v>
      </c>
      <c r="J242" s="1">
        <v>1.08</v>
      </c>
    </row>
    <row r="243" spans="1:10" x14ac:dyDescent="0.25">
      <c r="A243" s="1" t="s">
        <v>1260</v>
      </c>
      <c r="B243" s="1">
        <v>0.81599999999999995</v>
      </c>
      <c r="E243" s="1" t="s">
        <v>1260</v>
      </c>
      <c r="F243" s="1">
        <v>0.35499999999999998</v>
      </c>
      <c r="I243" s="1" t="s">
        <v>1260</v>
      </c>
      <c r="J243" s="1">
        <v>0.13900000000000001</v>
      </c>
    </row>
    <row r="245" spans="1:10" x14ac:dyDescent="0.25">
      <c r="A245" s="1" t="s">
        <v>654</v>
      </c>
      <c r="B245" s="1">
        <v>0.97</v>
      </c>
      <c r="E245" s="1" t="s">
        <v>654</v>
      </c>
      <c r="F245" s="1">
        <v>0.87</v>
      </c>
      <c r="I245" s="1" t="s">
        <v>654</v>
      </c>
      <c r="J245" s="1">
        <v>0.82</v>
      </c>
    </row>
    <row r="246" spans="1:10" x14ac:dyDescent="0.25">
      <c r="A246" s="1" t="s">
        <v>1258</v>
      </c>
      <c r="B246" s="1">
        <v>0.73</v>
      </c>
      <c r="E246" s="1" t="s">
        <v>1258</v>
      </c>
      <c r="F246" s="1">
        <v>0.64</v>
      </c>
      <c r="I246" s="1" t="s">
        <v>1258</v>
      </c>
      <c r="J246" s="1">
        <v>0.62</v>
      </c>
    </row>
    <row r="247" spans="1:10" x14ac:dyDescent="0.25">
      <c r="A247" s="1" t="s">
        <v>1259</v>
      </c>
      <c r="B247" s="1">
        <v>1.28</v>
      </c>
      <c r="E247" s="1" t="s">
        <v>1259</v>
      </c>
      <c r="F247" s="1">
        <v>1.17</v>
      </c>
      <c r="I247" s="1" t="s">
        <v>1259</v>
      </c>
      <c r="J247" s="1">
        <v>1.07</v>
      </c>
    </row>
    <row r="248" spans="1:10" x14ac:dyDescent="0.25">
      <c r="A248" s="1" t="s">
        <v>1260</v>
      </c>
      <c r="B248" s="1">
        <v>0.81599999999999995</v>
      </c>
      <c r="E248" s="1" t="s">
        <v>1260</v>
      </c>
      <c r="F248" s="1">
        <v>0.35799999999999998</v>
      </c>
      <c r="I248" s="1" t="s">
        <v>1260</v>
      </c>
      <c r="J248" s="11">
        <v>0.14000000000000001</v>
      </c>
    </row>
    <row r="250" spans="1:10" x14ac:dyDescent="0.25">
      <c r="A250" s="12" t="s">
        <v>1327</v>
      </c>
    </row>
    <row r="252" spans="1:10" x14ac:dyDescent="0.25">
      <c r="B252" s="1" t="s">
        <v>1328</v>
      </c>
      <c r="C252" s="1" t="s">
        <v>1329</v>
      </c>
    </row>
    <row r="253" spans="1:10" x14ac:dyDescent="0.25">
      <c r="A253" s="1" t="s">
        <v>1249</v>
      </c>
      <c r="B253" s="1">
        <v>5</v>
      </c>
      <c r="C253" s="1">
        <v>25</v>
      </c>
    </row>
    <row r="254" spans="1:10" x14ac:dyDescent="0.25">
      <c r="A254" s="1" t="s">
        <v>1250</v>
      </c>
      <c r="B254" s="1">
        <v>79</v>
      </c>
      <c r="C254" s="1">
        <f>718-79</f>
        <v>639</v>
      </c>
    </row>
    <row r="256" spans="1:10" x14ac:dyDescent="0.25">
      <c r="A256" s="1" t="s">
        <v>1</v>
      </c>
      <c r="B256" s="1">
        <v>1.62</v>
      </c>
    </row>
    <row r="257" spans="1:11" x14ac:dyDescent="0.25">
      <c r="A257" s="1" t="s">
        <v>1258</v>
      </c>
      <c r="B257" s="10">
        <v>0.6</v>
      </c>
    </row>
    <row r="258" spans="1:11" x14ac:dyDescent="0.25">
      <c r="A258" s="1" t="s">
        <v>1259</v>
      </c>
      <c r="B258" s="1">
        <v>4.3499999999999996</v>
      </c>
    </row>
    <row r="259" spans="1:11" x14ac:dyDescent="0.25">
      <c r="A259" s="1" t="s">
        <v>1260</v>
      </c>
      <c r="B259" s="11">
        <v>0.34</v>
      </c>
    </row>
    <row r="261" spans="1:11" x14ac:dyDescent="0.25">
      <c r="A261" s="12" t="s">
        <v>1330</v>
      </c>
    </row>
    <row r="263" spans="1:11" x14ac:dyDescent="0.25">
      <c r="B263" s="1" t="s">
        <v>11</v>
      </c>
      <c r="C263" s="1" t="s">
        <v>1331</v>
      </c>
      <c r="H263" s="1" t="s">
        <v>1328</v>
      </c>
      <c r="I263" s="1" t="s">
        <v>1329</v>
      </c>
    </row>
    <row r="264" spans="1:11" x14ac:dyDescent="0.25">
      <c r="A264" s="1" t="s">
        <v>1332</v>
      </c>
      <c r="B264" s="1">
        <v>379</v>
      </c>
      <c r="C264" s="1">
        <v>531</v>
      </c>
      <c r="E264" s="1">
        <f>512*0.74</f>
        <v>378.88</v>
      </c>
      <c r="G264" s="1" t="s">
        <v>1332</v>
      </c>
      <c r="H264" s="1">
        <v>28</v>
      </c>
      <c r="I264" s="1">
        <v>885</v>
      </c>
      <c r="K264" s="1">
        <f>42*0.667</f>
        <v>28.014000000000003</v>
      </c>
    </row>
    <row r="265" spans="1:11" x14ac:dyDescent="0.25">
      <c r="A265" s="1" t="s">
        <v>1333</v>
      </c>
      <c r="B265" s="1">
        <f>B266-B264</f>
        <v>133</v>
      </c>
      <c r="C265" s="1">
        <f>C266-C264</f>
        <v>250</v>
      </c>
      <c r="E265" s="1">
        <f>C266*0.68</f>
        <v>531.08000000000004</v>
      </c>
      <c r="G265" s="1" t="s">
        <v>1333</v>
      </c>
      <c r="H265" s="1">
        <f>H266-H264</f>
        <v>14</v>
      </c>
      <c r="I265" s="1">
        <f>I266-I264</f>
        <v>368</v>
      </c>
      <c r="K265" s="1">
        <f>1253*0.706</f>
        <v>884.61799999999994</v>
      </c>
    </row>
    <row r="266" spans="1:11" x14ac:dyDescent="0.25">
      <c r="B266" s="1">
        <v>512</v>
      </c>
      <c r="C266" s="1">
        <v>781</v>
      </c>
      <c r="H266" s="1">
        <v>42</v>
      </c>
      <c r="I266" s="1">
        <v>1253</v>
      </c>
    </row>
    <row r="268" spans="1:11" x14ac:dyDescent="0.25">
      <c r="A268" s="1" t="s">
        <v>1</v>
      </c>
      <c r="B268" s="1">
        <v>1.34</v>
      </c>
      <c r="G268" s="1" t="s">
        <v>1</v>
      </c>
      <c r="H268" s="1">
        <v>0.83</v>
      </c>
    </row>
    <row r="269" spans="1:11" x14ac:dyDescent="0.25">
      <c r="A269" s="1" t="s">
        <v>1258</v>
      </c>
      <c r="B269" s="1">
        <v>1.05</v>
      </c>
      <c r="G269" s="1" t="s">
        <v>1258</v>
      </c>
      <c r="H269" s="1">
        <v>0.43</v>
      </c>
    </row>
    <row r="270" spans="1:11" x14ac:dyDescent="0.25">
      <c r="A270" s="1" t="s">
        <v>1259</v>
      </c>
      <c r="B270" s="1">
        <v>1.72</v>
      </c>
      <c r="G270" s="1" t="s">
        <v>1259</v>
      </c>
      <c r="H270" s="10">
        <v>1.6</v>
      </c>
    </row>
    <row r="271" spans="1:11" x14ac:dyDescent="0.25">
      <c r="A271" s="1" t="s">
        <v>1260</v>
      </c>
      <c r="B271" s="11">
        <v>0.02</v>
      </c>
      <c r="G271" s="1" t="s">
        <v>1260</v>
      </c>
      <c r="H271" s="11">
        <v>0.57999999999999996</v>
      </c>
    </row>
    <row r="273" spans="1:7" x14ac:dyDescent="0.25">
      <c r="A273" s="4" t="s">
        <v>1334</v>
      </c>
    </row>
    <row r="275" spans="1:7" x14ac:dyDescent="0.25">
      <c r="B275" s="1" t="s">
        <v>11</v>
      </c>
      <c r="C275" s="1" t="s">
        <v>1331</v>
      </c>
      <c r="F275" s="1" t="s">
        <v>11</v>
      </c>
      <c r="G275" s="1" t="s">
        <v>1331</v>
      </c>
    </row>
    <row r="276" spans="1:7" x14ac:dyDescent="0.25">
      <c r="A276" s="1" t="s">
        <v>1332</v>
      </c>
      <c r="B276" s="1">
        <f>B278-B277</f>
        <v>41</v>
      </c>
      <c r="C276" s="1">
        <f>485-246</f>
        <v>239</v>
      </c>
      <c r="E276" s="1" t="s">
        <v>1333</v>
      </c>
      <c r="F276" s="1">
        <v>84</v>
      </c>
      <c r="G276" s="1">
        <v>246</v>
      </c>
    </row>
    <row r="277" spans="1:7" x14ac:dyDescent="0.25">
      <c r="A277" s="1" t="s">
        <v>1333</v>
      </c>
      <c r="B277" s="1">
        <v>84</v>
      </c>
      <c r="C277" s="1">
        <v>246</v>
      </c>
      <c r="E277" s="1" t="s">
        <v>1332</v>
      </c>
      <c r="F277" s="1">
        <f>F278-F276</f>
        <v>41</v>
      </c>
      <c r="G277" s="1">
        <f>485-246</f>
        <v>239</v>
      </c>
    </row>
    <row r="278" spans="1:7" x14ac:dyDescent="0.25">
      <c r="B278" s="1">
        <v>125</v>
      </c>
      <c r="C278" s="1">
        <v>485</v>
      </c>
      <c r="F278" s="1">
        <v>125</v>
      </c>
      <c r="G278" s="1">
        <v>485</v>
      </c>
    </row>
    <row r="280" spans="1:7" x14ac:dyDescent="0.25">
      <c r="A280" s="1" t="s">
        <v>1</v>
      </c>
      <c r="B280" s="10">
        <v>0.5</v>
      </c>
      <c r="E280" s="1" t="s">
        <v>1</v>
      </c>
      <c r="F280" s="10">
        <v>1.99</v>
      </c>
    </row>
    <row r="281" spans="1:7" x14ac:dyDescent="0.25">
      <c r="A281" s="1" t="s">
        <v>1258</v>
      </c>
      <c r="B281" s="1">
        <v>0.33</v>
      </c>
      <c r="E281" s="1" t="s">
        <v>1258</v>
      </c>
      <c r="F281" s="1">
        <v>1.32</v>
      </c>
    </row>
    <row r="282" spans="1:7" x14ac:dyDescent="0.25">
      <c r="A282" s="1" t="s">
        <v>1259</v>
      </c>
      <c r="B282" s="1">
        <v>0.76</v>
      </c>
      <c r="E282" s="1" t="s">
        <v>1259</v>
      </c>
      <c r="F282" s="1">
        <v>3.01</v>
      </c>
    </row>
    <row r="283" spans="1:7" x14ac:dyDescent="0.25">
      <c r="A283" s="1" t="s">
        <v>1260</v>
      </c>
      <c r="B283" s="11">
        <v>1E-3</v>
      </c>
      <c r="E283" s="1" t="s">
        <v>1260</v>
      </c>
      <c r="F283" s="11">
        <v>1E-3</v>
      </c>
    </row>
    <row r="285" spans="1:7" x14ac:dyDescent="0.25">
      <c r="B285" s="1" t="s">
        <v>80</v>
      </c>
      <c r="C285" s="1" t="s">
        <v>1335</v>
      </c>
      <c r="F285" s="1" t="s">
        <v>80</v>
      </c>
      <c r="G285" s="1" t="s">
        <v>1335</v>
      </c>
    </row>
    <row r="286" spans="1:7" x14ac:dyDescent="0.25">
      <c r="A286" s="1" t="s">
        <v>1333</v>
      </c>
      <c r="B286" s="1">
        <v>36</v>
      </c>
      <c r="C286" s="1">
        <v>294</v>
      </c>
      <c r="E286" s="1" t="s">
        <v>1332</v>
      </c>
      <c r="F286" s="1">
        <f>F288-F287</f>
        <v>45</v>
      </c>
      <c r="G286" s="1">
        <f>G288-G287</f>
        <v>235</v>
      </c>
    </row>
    <row r="287" spans="1:7" x14ac:dyDescent="0.25">
      <c r="A287" s="1" t="s">
        <v>1332</v>
      </c>
      <c r="B287" s="1">
        <f>B288-B286</f>
        <v>45</v>
      </c>
      <c r="C287" s="1">
        <f>C288-C286</f>
        <v>235</v>
      </c>
      <c r="E287" s="1" t="s">
        <v>1333</v>
      </c>
      <c r="F287" s="1">
        <v>36</v>
      </c>
      <c r="G287" s="1">
        <v>294</v>
      </c>
    </row>
    <row r="288" spans="1:7" x14ac:dyDescent="0.25">
      <c r="B288" s="1">
        <v>81</v>
      </c>
      <c r="C288" s="1">
        <v>529</v>
      </c>
      <c r="F288" s="1">
        <v>81</v>
      </c>
      <c r="G288" s="1">
        <v>529</v>
      </c>
    </row>
    <row r="290" spans="1:7" x14ac:dyDescent="0.25">
      <c r="A290" s="1" t="s">
        <v>1</v>
      </c>
      <c r="B290" s="1">
        <v>0.64</v>
      </c>
      <c r="E290" s="1" t="s">
        <v>1</v>
      </c>
      <c r="F290" s="1">
        <v>1.56</v>
      </c>
    </row>
    <row r="291" spans="1:7" x14ac:dyDescent="0.25">
      <c r="A291" s="1" t="s">
        <v>1258</v>
      </c>
      <c r="B291" s="10">
        <v>0.4</v>
      </c>
      <c r="E291" s="1" t="s">
        <v>1258</v>
      </c>
      <c r="F291" s="10">
        <v>0.98</v>
      </c>
    </row>
    <row r="292" spans="1:7" x14ac:dyDescent="0.25">
      <c r="A292" s="1" t="s">
        <v>1259</v>
      </c>
      <c r="B292" s="1">
        <v>1.02</v>
      </c>
      <c r="E292" s="1" t="s">
        <v>1259</v>
      </c>
      <c r="F292" s="1">
        <v>2.5</v>
      </c>
    </row>
    <row r="293" spans="1:7" x14ac:dyDescent="0.25">
      <c r="A293" s="1" t="s">
        <v>1260</v>
      </c>
      <c r="B293" s="1">
        <v>6.3E-2</v>
      </c>
      <c r="E293" s="1" t="s">
        <v>1260</v>
      </c>
      <c r="F293" s="1">
        <v>6.3E-2</v>
      </c>
    </row>
    <row r="295" spans="1:7" x14ac:dyDescent="0.25">
      <c r="B295" s="1" t="s">
        <v>1328</v>
      </c>
      <c r="C295" s="1" t="s">
        <v>1329</v>
      </c>
      <c r="F295" s="1" t="s">
        <v>1328</v>
      </c>
      <c r="G295" s="1" t="s">
        <v>1329</v>
      </c>
    </row>
    <row r="296" spans="1:7" x14ac:dyDescent="0.25">
      <c r="A296" s="1" t="s">
        <v>1332</v>
      </c>
      <c r="B296" s="1">
        <f>295-168</f>
        <v>127</v>
      </c>
      <c r="C296" s="1">
        <f>315-162</f>
        <v>153</v>
      </c>
      <c r="E296" s="1" t="s">
        <v>1333</v>
      </c>
      <c r="F296" s="1">
        <v>168</v>
      </c>
      <c r="G296" s="1">
        <v>162</v>
      </c>
    </row>
    <row r="297" spans="1:7" x14ac:dyDescent="0.25">
      <c r="A297" s="1" t="s">
        <v>1333</v>
      </c>
      <c r="B297" s="1">
        <f>B298-B296</f>
        <v>168</v>
      </c>
      <c r="C297" s="1">
        <f>C298-C296</f>
        <v>162</v>
      </c>
      <c r="E297" s="1" t="s">
        <v>1332</v>
      </c>
      <c r="F297" s="1">
        <v>127</v>
      </c>
      <c r="G297" s="1">
        <v>153</v>
      </c>
    </row>
    <row r="298" spans="1:7" x14ac:dyDescent="0.25">
      <c r="B298" s="1">
        <v>295</v>
      </c>
      <c r="C298" s="1">
        <v>315</v>
      </c>
      <c r="F298" s="1">
        <v>295</v>
      </c>
      <c r="G298" s="1">
        <v>315</v>
      </c>
    </row>
    <row r="300" spans="1:7" x14ac:dyDescent="0.25">
      <c r="A300" s="1" t="s">
        <v>1</v>
      </c>
      <c r="B300" s="10">
        <v>0.8</v>
      </c>
      <c r="E300" s="1" t="s">
        <v>1</v>
      </c>
      <c r="F300" s="1">
        <v>1.25</v>
      </c>
    </row>
    <row r="301" spans="1:7" x14ac:dyDescent="0.25">
      <c r="A301" s="1" t="s">
        <v>1258</v>
      </c>
      <c r="B301" s="1">
        <v>0.57999999999999996</v>
      </c>
      <c r="E301" s="1" t="s">
        <v>1258</v>
      </c>
      <c r="F301" s="1">
        <v>0.91</v>
      </c>
    </row>
    <row r="302" spans="1:7" x14ac:dyDescent="0.25">
      <c r="A302" s="1" t="s">
        <v>1259</v>
      </c>
      <c r="B302" s="10">
        <v>1.1000000000000001</v>
      </c>
      <c r="E302" s="1" t="s">
        <v>1259</v>
      </c>
      <c r="F302" s="1">
        <v>1.72</v>
      </c>
    </row>
    <row r="303" spans="1:7" x14ac:dyDescent="0.25">
      <c r="A303" s="1" t="s">
        <v>1260</v>
      </c>
      <c r="B303" s="1">
        <v>0.17199999999999999</v>
      </c>
      <c r="E303" s="1" t="s">
        <v>1260</v>
      </c>
      <c r="F303" s="1">
        <v>0.17199999999999999</v>
      </c>
    </row>
    <row r="305" spans="1:14" x14ac:dyDescent="0.25">
      <c r="A305" s="4" t="s">
        <v>1336</v>
      </c>
    </row>
    <row r="307" spans="1:14" x14ac:dyDescent="0.25">
      <c r="B307" s="1" t="s">
        <v>1337</v>
      </c>
      <c r="C307" s="1" t="s">
        <v>1338</v>
      </c>
      <c r="G307" s="1" t="s">
        <v>1339</v>
      </c>
      <c r="H307" s="1" t="s">
        <v>1340</v>
      </c>
      <c r="L307" s="1" t="s">
        <v>1339</v>
      </c>
      <c r="M307" s="1" t="s">
        <v>1340</v>
      </c>
    </row>
    <row r="308" spans="1:14" x14ac:dyDescent="0.25">
      <c r="A308" s="1" t="s">
        <v>1249</v>
      </c>
      <c r="B308" s="1">
        <f>B310-B309</f>
        <v>132</v>
      </c>
      <c r="C308" s="1">
        <f>C310-C309</f>
        <v>127</v>
      </c>
      <c r="D308" s="1">
        <f>D310-D309</f>
        <v>259</v>
      </c>
      <c r="F308" s="1" t="s">
        <v>1249</v>
      </c>
      <c r="G308" s="1">
        <f>G310-G309</f>
        <v>147</v>
      </c>
      <c r="H308" s="1">
        <f>H310-H309</f>
        <v>112</v>
      </c>
      <c r="I308" s="1">
        <f>I310-I309</f>
        <v>259</v>
      </c>
      <c r="K308" s="1" t="s">
        <v>1249</v>
      </c>
      <c r="L308" s="1">
        <f>L310-L309</f>
        <v>122</v>
      </c>
      <c r="M308" s="1">
        <f>M310-M309</f>
        <v>137</v>
      </c>
      <c r="N308" s="1">
        <f>N310-N309</f>
        <v>259</v>
      </c>
    </row>
    <row r="309" spans="1:14" x14ac:dyDescent="0.25">
      <c r="A309" s="1" t="s">
        <v>1250</v>
      </c>
      <c r="B309" s="1">
        <v>134</v>
      </c>
      <c r="C309" s="1">
        <f>D309-B309</f>
        <v>149</v>
      </c>
      <c r="D309" s="1">
        <v>283</v>
      </c>
      <c r="F309" s="1" t="s">
        <v>1250</v>
      </c>
      <c r="G309" s="1">
        <v>157</v>
      </c>
      <c r="H309" s="1">
        <f>I309-G309</f>
        <v>126</v>
      </c>
      <c r="I309" s="1">
        <v>283</v>
      </c>
      <c r="K309" s="1" t="s">
        <v>1250</v>
      </c>
      <c r="L309" s="1">
        <v>141</v>
      </c>
      <c r="M309" s="1">
        <f>N309-L309</f>
        <v>142</v>
      </c>
      <c r="N309" s="1">
        <v>283</v>
      </c>
    </row>
    <row r="310" spans="1:14" x14ac:dyDescent="0.25">
      <c r="B310" s="1">
        <v>266</v>
      </c>
      <c r="C310" s="1">
        <f>D310-B310</f>
        <v>276</v>
      </c>
      <c r="D310" s="1">
        <v>542</v>
      </c>
      <c r="G310" s="1">
        <v>304</v>
      </c>
      <c r="H310" s="1">
        <f>I310-G310</f>
        <v>238</v>
      </c>
      <c r="I310" s="1">
        <v>542</v>
      </c>
      <c r="L310" s="1">
        <v>263</v>
      </c>
      <c r="M310" s="1">
        <f>N310-L310</f>
        <v>279</v>
      </c>
      <c r="N310" s="1">
        <v>542</v>
      </c>
    </row>
    <row r="312" spans="1:14" x14ac:dyDescent="0.25">
      <c r="A312" s="1" t="s">
        <v>1</v>
      </c>
      <c r="B312" s="1">
        <v>1.1599999999999999</v>
      </c>
      <c r="F312" s="1" t="s">
        <v>1</v>
      </c>
      <c r="G312" s="1">
        <v>1.05</v>
      </c>
      <c r="K312" s="1" t="s">
        <v>1</v>
      </c>
      <c r="L312" s="10">
        <v>0.9</v>
      </c>
    </row>
    <row r="313" spans="1:14" x14ac:dyDescent="0.25">
      <c r="A313" s="1" t="s">
        <v>1258</v>
      </c>
      <c r="B313" s="1">
        <v>0.82</v>
      </c>
      <c r="F313" s="1" t="s">
        <v>1258</v>
      </c>
      <c r="G313" s="1">
        <v>0.75</v>
      </c>
      <c r="K313" s="1" t="s">
        <v>1258</v>
      </c>
      <c r="L313" s="1">
        <v>0.64</v>
      </c>
    </row>
    <row r="314" spans="1:14" x14ac:dyDescent="0.25">
      <c r="A314" s="1" t="s">
        <v>1259</v>
      </c>
      <c r="B314" s="1">
        <v>1.62</v>
      </c>
      <c r="F314" s="1" t="s">
        <v>1259</v>
      </c>
      <c r="G314" s="1">
        <v>1.48</v>
      </c>
      <c r="K314" s="1" t="s">
        <v>1259</v>
      </c>
      <c r="L314" s="1">
        <v>1.26</v>
      </c>
    </row>
    <row r="315" spans="1:14" x14ac:dyDescent="0.25">
      <c r="A315" s="1" t="s">
        <v>1260</v>
      </c>
      <c r="B315" s="11">
        <v>0.4</v>
      </c>
      <c r="F315" s="1" t="s">
        <v>1260</v>
      </c>
      <c r="G315" s="11">
        <v>0.76400000000000001</v>
      </c>
      <c r="K315" s="1" t="s">
        <v>1260</v>
      </c>
      <c r="L315" s="11">
        <v>0.52700000000000002</v>
      </c>
    </row>
    <row r="317" spans="1:14" x14ac:dyDescent="0.25">
      <c r="A317" s="4" t="s">
        <v>1341</v>
      </c>
    </row>
    <row r="319" spans="1:14" x14ac:dyDescent="0.25">
      <c r="B319" s="1" t="s">
        <v>1342</v>
      </c>
      <c r="C319" s="1" t="s">
        <v>1343</v>
      </c>
      <c r="F319" s="1" t="s">
        <v>11</v>
      </c>
      <c r="I319" s="1" t="s">
        <v>80</v>
      </c>
    </row>
    <row r="320" spans="1:14" x14ac:dyDescent="0.25">
      <c r="A320" s="1" t="s">
        <v>1332</v>
      </c>
      <c r="B320" s="1">
        <f>B322-B321</f>
        <v>40</v>
      </c>
      <c r="C320" s="1">
        <f>C322-C321</f>
        <v>150</v>
      </c>
      <c r="D320" s="1">
        <f>480-290</f>
        <v>190</v>
      </c>
      <c r="F320" s="1" t="s">
        <v>1344</v>
      </c>
      <c r="G320" s="1">
        <v>5</v>
      </c>
      <c r="I320" s="1" t="s">
        <v>1345</v>
      </c>
      <c r="J320" s="1">
        <v>22</v>
      </c>
    </row>
    <row r="321" spans="1:19" x14ac:dyDescent="0.25">
      <c r="A321" s="1" t="s">
        <v>1346</v>
      </c>
      <c r="B321" s="1">
        <v>25</v>
      </c>
      <c r="C321" s="1">
        <v>265</v>
      </c>
      <c r="D321" s="1">
        <v>290</v>
      </c>
      <c r="F321" s="1" t="s">
        <v>1347</v>
      </c>
      <c r="G321" s="1">
        <v>3</v>
      </c>
      <c r="I321" s="1" t="s">
        <v>1348</v>
      </c>
      <c r="J321" s="1">
        <v>3</v>
      </c>
    </row>
    <row r="322" spans="1:19" x14ac:dyDescent="0.25">
      <c r="B322" s="1">
        <v>65</v>
      </c>
      <c r="C322" s="1">
        <v>415</v>
      </c>
      <c r="D322" s="1">
        <v>480</v>
      </c>
      <c r="F322" s="1" t="s">
        <v>1349</v>
      </c>
      <c r="G322" s="1">
        <v>2</v>
      </c>
      <c r="I322" s="1" t="s">
        <v>1350</v>
      </c>
      <c r="J322" s="1">
        <v>7</v>
      </c>
    </row>
    <row r="323" spans="1:19" x14ac:dyDescent="0.25">
      <c r="F323" s="1" t="s">
        <v>1351</v>
      </c>
      <c r="G323" s="1">
        <v>4</v>
      </c>
      <c r="I323" s="1" t="s">
        <v>1351</v>
      </c>
      <c r="J323" s="1">
        <v>4</v>
      </c>
    </row>
    <row r="324" spans="1:19" x14ac:dyDescent="0.25">
      <c r="F324" s="1" t="s">
        <v>1246</v>
      </c>
      <c r="G324" s="1">
        <f>SUM(G320:G323)</f>
        <v>14</v>
      </c>
      <c r="I324" s="1" t="s">
        <v>1246</v>
      </c>
      <c r="J324" s="1">
        <f>SUM(J320:J323)</f>
        <v>36</v>
      </c>
    </row>
    <row r="326" spans="1:19" x14ac:dyDescent="0.25">
      <c r="A326" s="4" t="s">
        <v>1352</v>
      </c>
    </row>
    <row r="328" spans="1:19" x14ac:dyDescent="0.25">
      <c r="B328" s="1" t="s">
        <v>1353</v>
      </c>
      <c r="C328" s="1" t="s">
        <v>1354</v>
      </c>
    </row>
    <row r="329" spans="1:19" x14ac:dyDescent="0.25">
      <c r="A329" s="1" t="s">
        <v>1332</v>
      </c>
      <c r="B329" s="1">
        <v>46</v>
      </c>
      <c r="C329" s="1">
        <f>D329-B329</f>
        <v>306</v>
      </c>
      <c r="D329" s="1">
        <v>352</v>
      </c>
    </row>
    <row r="330" spans="1:19" x14ac:dyDescent="0.25">
      <c r="A330" s="1" t="s">
        <v>1346</v>
      </c>
      <c r="B330" s="1">
        <f>130-B329</f>
        <v>84</v>
      </c>
      <c r="C330" s="1">
        <f>D330-B330</f>
        <v>231</v>
      </c>
      <c r="D330" s="1">
        <f>667-D329</f>
        <v>315</v>
      </c>
    </row>
    <row r="332" spans="1:19" x14ac:dyDescent="0.25">
      <c r="A332" s="1" t="s">
        <v>1355</v>
      </c>
      <c r="B332" s="1" t="s">
        <v>1267</v>
      </c>
      <c r="C332" s="7" t="s">
        <v>1268</v>
      </c>
      <c r="E332" s="1" t="s">
        <v>1356</v>
      </c>
      <c r="F332" s="1" t="s">
        <v>1267</v>
      </c>
      <c r="G332" s="7" t="s">
        <v>1268</v>
      </c>
      <c r="I332" s="1" t="s">
        <v>1357</v>
      </c>
      <c r="J332" s="1" t="s">
        <v>1267</v>
      </c>
      <c r="K332" s="7" t="s">
        <v>1268</v>
      </c>
      <c r="M332" s="1" t="s">
        <v>256</v>
      </c>
      <c r="Q332" s="1" t="s">
        <v>1358</v>
      </c>
    </row>
    <row r="333" spans="1:19" x14ac:dyDescent="0.25">
      <c r="A333" s="1" t="s">
        <v>1359</v>
      </c>
      <c r="B333" s="1">
        <v>22</v>
      </c>
      <c r="C333" s="7">
        <f>B333/480</f>
        <v>4.583333333333333E-2</v>
      </c>
      <c r="E333" s="1" t="s">
        <v>1360</v>
      </c>
      <c r="F333" s="1">
        <v>5</v>
      </c>
      <c r="G333" s="7">
        <f>F333/480</f>
        <v>1.0416666666666666E-2</v>
      </c>
      <c r="I333" s="1" t="s">
        <v>1361</v>
      </c>
      <c r="J333" s="1">
        <v>22</v>
      </c>
      <c r="K333" s="7">
        <f>J333/480</f>
        <v>4.583333333333333E-2</v>
      </c>
      <c r="M333" s="1" t="s">
        <v>1359</v>
      </c>
      <c r="N333" s="1">
        <v>22</v>
      </c>
      <c r="O333" s="7">
        <f>N333/480</f>
        <v>4.583333333333333E-2</v>
      </c>
      <c r="Q333" s="1" t="s">
        <v>1359</v>
      </c>
      <c r="R333" s="1">
        <v>22</v>
      </c>
      <c r="S333" s="7">
        <f t="shared" ref="S333:S339" si="6">R333/480</f>
        <v>4.583333333333333E-2</v>
      </c>
    </row>
    <row r="334" spans="1:19" x14ac:dyDescent="0.25">
      <c r="A334" s="1" t="s">
        <v>1362</v>
      </c>
      <c r="B334" s="1">
        <v>7</v>
      </c>
      <c r="C334" s="7">
        <f t="shared" ref="C334:C337" si="7">B334/480</f>
        <v>1.4583333333333334E-2</v>
      </c>
      <c r="E334" s="1" t="s">
        <v>1349</v>
      </c>
      <c r="F334" s="1">
        <v>2</v>
      </c>
      <c r="G334" s="7">
        <f t="shared" ref="G334:G337" si="8">F334/480</f>
        <v>4.1666666666666666E-3</v>
      </c>
      <c r="I334" s="1" t="s">
        <v>1349</v>
      </c>
      <c r="J334" s="1">
        <v>2</v>
      </c>
      <c r="K334" s="7">
        <f t="shared" ref="K334:K337" si="9">J334/480</f>
        <v>4.1666666666666666E-3</v>
      </c>
      <c r="M334" s="1" t="s">
        <v>1361</v>
      </c>
      <c r="N334" s="1">
        <v>22</v>
      </c>
      <c r="O334" s="7">
        <f t="shared" ref="O334:O340" si="10">N334/480</f>
        <v>4.583333333333333E-2</v>
      </c>
      <c r="Q334" s="1" t="s">
        <v>1360</v>
      </c>
      <c r="R334" s="1">
        <v>5</v>
      </c>
      <c r="S334" s="7">
        <f t="shared" si="6"/>
        <v>1.0416666666666666E-2</v>
      </c>
    </row>
    <row r="335" spans="1:19" x14ac:dyDescent="0.25">
      <c r="A335" s="1" t="s">
        <v>1348</v>
      </c>
      <c r="B335" s="1">
        <v>3</v>
      </c>
      <c r="C335" s="7">
        <f t="shared" si="7"/>
        <v>6.2500000000000003E-3</v>
      </c>
      <c r="E335" s="1" t="s">
        <v>1348</v>
      </c>
      <c r="F335" s="1">
        <v>3</v>
      </c>
      <c r="G335" s="7">
        <f t="shared" si="8"/>
        <v>6.2500000000000003E-3</v>
      </c>
      <c r="I335" s="1" t="s">
        <v>1350</v>
      </c>
      <c r="J335" s="1">
        <v>7</v>
      </c>
      <c r="K335" s="7">
        <f t="shared" si="9"/>
        <v>1.4583333333333334E-2</v>
      </c>
      <c r="M335" s="1" t="s">
        <v>1360</v>
      </c>
      <c r="N335" s="1">
        <v>5</v>
      </c>
      <c r="O335" s="7">
        <f t="shared" si="10"/>
        <v>1.0416666666666666E-2</v>
      </c>
      <c r="Q335" s="1" t="s">
        <v>1362</v>
      </c>
      <c r="R335" s="1">
        <v>7</v>
      </c>
      <c r="S335" s="7">
        <f t="shared" si="6"/>
        <v>1.4583333333333334E-2</v>
      </c>
    </row>
    <row r="336" spans="1:19" x14ac:dyDescent="0.25">
      <c r="A336" s="1" t="s">
        <v>1351</v>
      </c>
      <c r="B336" s="1">
        <v>4</v>
      </c>
      <c r="C336" s="7">
        <f t="shared" si="7"/>
        <v>8.3333333333333332E-3</v>
      </c>
      <c r="E336" s="1" t="s">
        <v>1351</v>
      </c>
      <c r="F336" s="1">
        <v>4</v>
      </c>
      <c r="G336" s="7">
        <f t="shared" si="8"/>
        <v>8.3333333333333332E-3</v>
      </c>
      <c r="I336" s="1" t="s">
        <v>1351</v>
      </c>
      <c r="J336" s="1">
        <v>4</v>
      </c>
      <c r="K336" s="7">
        <f t="shared" si="9"/>
        <v>8.3333333333333332E-3</v>
      </c>
      <c r="M336" s="1" t="s">
        <v>1362</v>
      </c>
      <c r="N336" s="1">
        <v>7</v>
      </c>
      <c r="O336" s="7">
        <f t="shared" si="10"/>
        <v>1.4583333333333334E-2</v>
      </c>
      <c r="Q336" s="1" t="s">
        <v>1348</v>
      </c>
      <c r="R336" s="1">
        <v>3</v>
      </c>
      <c r="S336" s="7">
        <f t="shared" si="6"/>
        <v>6.2500000000000003E-3</v>
      </c>
    </row>
    <row r="337" spans="1:19" x14ac:dyDescent="0.25">
      <c r="A337" s="1" t="s">
        <v>1246</v>
      </c>
      <c r="B337" s="1">
        <f>SUM(B333:B336)</f>
        <v>36</v>
      </c>
      <c r="C337" s="7">
        <f t="shared" si="7"/>
        <v>7.4999999999999997E-2</v>
      </c>
      <c r="E337" s="1" t="s">
        <v>1246</v>
      </c>
      <c r="F337" s="1">
        <f>SUM(F333:F336)</f>
        <v>14</v>
      </c>
      <c r="G337" s="7">
        <f t="shared" si="8"/>
        <v>2.9166666666666667E-2</v>
      </c>
      <c r="I337" s="1" t="s">
        <v>1246</v>
      </c>
      <c r="J337" s="1">
        <f>SUM(J333:J336)</f>
        <v>35</v>
      </c>
      <c r="K337" s="7">
        <f t="shared" si="9"/>
        <v>7.2916666666666671E-2</v>
      </c>
      <c r="M337" s="1" t="s">
        <v>1348</v>
      </c>
      <c r="N337" s="1">
        <v>3</v>
      </c>
      <c r="O337" s="7">
        <f t="shared" si="10"/>
        <v>6.2500000000000003E-3</v>
      </c>
      <c r="Q337" s="1" t="s">
        <v>1363</v>
      </c>
      <c r="R337" s="1">
        <v>2</v>
      </c>
      <c r="S337" s="7">
        <f t="shared" si="6"/>
        <v>4.1666666666666666E-3</v>
      </c>
    </row>
    <row r="338" spans="1:19" x14ac:dyDescent="0.25">
      <c r="M338" s="1" t="s">
        <v>1363</v>
      </c>
      <c r="N338" s="1">
        <v>2</v>
      </c>
      <c r="O338" s="7">
        <f t="shared" si="10"/>
        <v>4.1666666666666666E-3</v>
      </c>
      <c r="Q338" s="1" t="s">
        <v>1351</v>
      </c>
      <c r="R338" s="1">
        <v>4</v>
      </c>
      <c r="S338" s="7">
        <f t="shared" si="6"/>
        <v>8.3333333333333332E-3</v>
      </c>
    </row>
    <row r="339" spans="1:19" x14ac:dyDescent="0.25">
      <c r="M339" s="1" t="s">
        <v>1351</v>
      </c>
      <c r="N339" s="1">
        <v>4</v>
      </c>
      <c r="O339" s="7">
        <f t="shared" si="10"/>
        <v>8.3333333333333332E-3</v>
      </c>
      <c r="Q339" s="1" t="s">
        <v>1246</v>
      </c>
      <c r="R339" s="1">
        <f>SUM(R333:R338)</f>
        <v>43</v>
      </c>
      <c r="S339" s="7">
        <f t="shared" si="6"/>
        <v>8.9583333333333334E-2</v>
      </c>
    </row>
    <row r="340" spans="1:19" x14ac:dyDescent="0.25">
      <c r="M340" s="1" t="s">
        <v>1246</v>
      </c>
      <c r="N340" s="1">
        <f>SUM(N333:N339)</f>
        <v>65</v>
      </c>
      <c r="O340" s="7">
        <f t="shared" si="10"/>
        <v>0.13541666666666666</v>
      </c>
    </row>
    <row r="343" spans="1:19" x14ac:dyDescent="0.25">
      <c r="A343" s="4" t="s">
        <v>1364</v>
      </c>
    </row>
    <row r="345" spans="1:19" x14ac:dyDescent="0.25">
      <c r="A345" s="4" t="s">
        <v>1365</v>
      </c>
    </row>
    <row r="346" spans="1:19" x14ac:dyDescent="0.25">
      <c r="A346" s="4"/>
    </row>
    <row r="347" spans="1:19" x14ac:dyDescent="0.25">
      <c r="A347" s="4" t="s">
        <v>1366</v>
      </c>
    </row>
    <row r="349" spans="1:19" x14ac:dyDescent="0.25">
      <c r="B349" s="1" t="s">
        <v>1367</v>
      </c>
      <c r="C349" s="1" t="s">
        <v>1368</v>
      </c>
      <c r="F349" s="1" t="s">
        <v>1369</v>
      </c>
      <c r="G349" s="1" t="s">
        <v>1370</v>
      </c>
      <c r="J349" s="1" t="s">
        <v>1371</v>
      </c>
      <c r="K349" s="1" t="s">
        <v>1372</v>
      </c>
      <c r="N349" s="1" t="s">
        <v>129</v>
      </c>
      <c r="O349" s="1" t="s">
        <v>1373</v>
      </c>
    </row>
    <row r="350" spans="1:19" x14ac:dyDescent="0.25">
      <c r="A350" s="1" t="s">
        <v>1332</v>
      </c>
      <c r="B350" s="1">
        <v>188</v>
      </c>
      <c r="C350" s="1">
        <v>172</v>
      </c>
      <c r="E350" s="1" t="s">
        <v>1332</v>
      </c>
      <c r="F350" s="1">
        <v>45</v>
      </c>
      <c r="G350" s="1">
        <v>313</v>
      </c>
      <c r="I350" s="1" t="s">
        <v>1332</v>
      </c>
      <c r="J350" s="1">
        <f>J352-J351</f>
        <v>66</v>
      </c>
      <c r="K350" s="1">
        <f>K352-K351</f>
        <v>294</v>
      </c>
      <c r="M350" s="1" t="s">
        <v>1332</v>
      </c>
      <c r="N350" s="1">
        <f>N352-N351</f>
        <v>198</v>
      </c>
      <c r="O350" s="1">
        <f>O352-O351</f>
        <v>162</v>
      </c>
    </row>
    <row r="351" spans="1:19" x14ac:dyDescent="0.25">
      <c r="A351" s="1" t="s">
        <v>1346</v>
      </c>
      <c r="B351" s="1">
        <v>223</v>
      </c>
      <c r="C351" s="1">
        <v>157</v>
      </c>
      <c r="E351" s="1" t="s">
        <v>1346</v>
      </c>
      <c r="F351" s="1">
        <v>75</v>
      </c>
      <c r="G351" s="1">
        <v>306</v>
      </c>
      <c r="I351" s="1" t="s">
        <v>1346</v>
      </c>
      <c r="J351" s="1">
        <v>82</v>
      </c>
      <c r="K351" s="1">
        <v>293</v>
      </c>
      <c r="M351" s="1" t="s">
        <v>1346</v>
      </c>
      <c r="N351" s="1">
        <v>232</v>
      </c>
      <c r="O351" s="1">
        <v>151</v>
      </c>
    </row>
    <row r="352" spans="1:19" x14ac:dyDescent="0.25">
      <c r="B352" s="1">
        <v>411</v>
      </c>
      <c r="C352" s="1">
        <v>329</v>
      </c>
      <c r="F352" s="1">
        <v>120</v>
      </c>
      <c r="G352" s="1">
        <v>619</v>
      </c>
      <c r="J352" s="1">
        <v>148</v>
      </c>
      <c r="K352" s="1">
        <v>587</v>
      </c>
      <c r="N352" s="1">
        <v>430</v>
      </c>
      <c r="O352" s="1">
        <v>313</v>
      </c>
    </row>
    <row r="354" spans="1:15" x14ac:dyDescent="0.25">
      <c r="A354" s="1" t="s">
        <v>1</v>
      </c>
      <c r="B354" s="1">
        <v>0.77</v>
      </c>
      <c r="E354" s="1" t="s">
        <v>1</v>
      </c>
      <c r="F354" s="1">
        <v>0.59</v>
      </c>
      <c r="I354" s="1" t="s">
        <v>1</v>
      </c>
      <c r="J354" s="10">
        <v>0.8</v>
      </c>
      <c r="M354" s="1" t="s">
        <v>1</v>
      </c>
      <c r="N354" s="10">
        <v>0.8</v>
      </c>
    </row>
    <row r="355" spans="1:15" x14ac:dyDescent="0.25">
      <c r="A355" s="1" t="s">
        <v>1258</v>
      </c>
      <c r="B355" s="1">
        <v>0.57999999999999996</v>
      </c>
      <c r="E355" s="1" t="s">
        <v>1258</v>
      </c>
      <c r="F355" s="1">
        <v>0.39</v>
      </c>
      <c r="I355" s="1" t="s">
        <v>1258</v>
      </c>
      <c r="J355" s="1">
        <v>0.56000000000000005</v>
      </c>
      <c r="M355" s="1" t="s">
        <v>1258</v>
      </c>
      <c r="N355" s="1">
        <v>0.59</v>
      </c>
    </row>
    <row r="356" spans="1:15" x14ac:dyDescent="0.25">
      <c r="A356" s="1" t="s">
        <v>1259</v>
      </c>
      <c r="B356" s="1">
        <v>1.03</v>
      </c>
      <c r="E356" s="1" t="s">
        <v>1259</v>
      </c>
      <c r="F356" s="1">
        <v>0.88</v>
      </c>
      <c r="I356" s="1" t="s">
        <v>1259</v>
      </c>
      <c r="J356" s="1">
        <v>1.1499999999999999</v>
      </c>
      <c r="M356" s="1" t="s">
        <v>1259</v>
      </c>
      <c r="N356" s="1">
        <v>1.07</v>
      </c>
    </row>
    <row r="357" spans="1:15" x14ac:dyDescent="0.25">
      <c r="A357" s="1" t="s">
        <v>1260</v>
      </c>
      <c r="B357" s="1">
        <v>7.6999999999999999E-2</v>
      </c>
      <c r="E357" s="1" t="s">
        <v>1260</v>
      </c>
      <c r="F357" s="1">
        <v>8.9999999999999993E-3</v>
      </c>
      <c r="I357" s="1" t="s">
        <v>1260</v>
      </c>
      <c r="J357" s="1">
        <v>0.23300000000000001</v>
      </c>
      <c r="M357" s="1" t="s">
        <v>1260</v>
      </c>
      <c r="N357" s="1">
        <v>0.124</v>
      </c>
    </row>
    <row r="359" spans="1:15" x14ac:dyDescent="0.25">
      <c r="A359" s="4" t="s">
        <v>63</v>
      </c>
    </row>
    <row r="361" spans="1:15" x14ac:dyDescent="0.25">
      <c r="B361" s="1" t="s">
        <v>1367</v>
      </c>
      <c r="C361" s="1" t="s">
        <v>1368</v>
      </c>
      <c r="F361" s="1" t="s">
        <v>1369</v>
      </c>
      <c r="G361" s="1" t="s">
        <v>1370</v>
      </c>
      <c r="J361" s="1" t="s">
        <v>1371</v>
      </c>
      <c r="K361" s="1" t="s">
        <v>1372</v>
      </c>
      <c r="N361" s="1" t="s">
        <v>129</v>
      </c>
      <c r="O361" s="1" t="s">
        <v>1373</v>
      </c>
    </row>
    <row r="362" spans="1:15" x14ac:dyDescent="0.25">
      <c r="A362" s="1" t="s">
        <v>1332</v>
      </c>
      <c r="B362" s="1">
        <f>B364-B363</f>
        <v>186</v>
      </c>
      <c r="C362" s="1">
        <f>C364-C363</f>
        <v>266</v>
      </c>
      <c r="E362" s="1" t="s">
        <v>1332</v>
      </c>
      <c r="F362" s="1">
        <f>F364-F363</f>
        <v>53</v>
      </c>
      <c r="G362" s="1">
        <f>G364-G363</f>
        <v>399</v>
      </c>
      <c r="I362" s="1" t="s">
        <v>1332</v>
      </c>
      <c r="J362" s="1">
        <f>J364-J363</f>
        <v>65</v>
      </c>
      <c r="K362" s="1">
        <f>K364-K363</f>
        <v>296</v>
      </c>
      <c r="M362" s="1" t="s">
        <v>1332</v>
      </c>
      <c r="N362" s="1">
        <f>N364-N363</f>
        <v>206</v>
      </c>
      <c r="O362" s="1">
        <f>O364-O363</f>
        <v>245</v>
      </c>
    </row>
    <row r="363" spans="1:15" x14ac:dyDescent="0.25">
      <c r="A363" s="1" t="s">
        <v>1346</v>
      </c>
      <c r="B363" s="1">
        <v>186</v>
      </c>
      <c r="C363" s="1">
        <v>299</v>
      </c>
      <c r="E363" s="1" t="s">
        <v>1346</v>
      </c>
      <c r="F363" s="1">
        <v>82</v>
      </c>
      <c r="G363" s="1">
        <v>403</v>
      </c>
      <c r="I363" s="1" t="s">
        <v>1346</v>
      </c>
      <c r="J363" s="1">
        <v>61</v>
      </c>
      <c r="K363" s="1">
        <v>313</v>
      </c>
      <c r="M363" s="1" t="s">
        <v>1346</v>
      </c>
      <c r="N363" s="1">
        <v>216</v>
      </c>
      <c r="O363" s="1">
        <v>270</v>
      </c>
    </row>
    <row r="364" spans="1:15" x14ac:dyDescent="0.25">
      <c r="B364" s="1">
        <v>372</v>
      </c>
      <c r="C364" s="1">
        <v>565</v>
      </c>
      <c r="F364" s="1">
        <v>135</v>
      </c>
      <c r="G364" s="1">
        <v>802</v>
      </c>
      <c r="J364" s="1">
        <v>126</v>
      </c>
      <c r="K364" s="1">
        <v>609</v>
      </c>
      <c r="N364" s="1">
        <v>422</v>
      </c>
      <c r="O364" s="1">
        <v>515</v>
      </c>
    </row>
    <row r="366" spans="1:15" x14ac:dyDescent="0.25">
      <c r="A366" s="1" t="s">
        <v>1</v>
      </c>
      <c r="B366" s="1">
        <v>1.1200000000000001</v>
      </c>
      <c r="E366" s="1" t="s">
        <v>1</v>
      </c>
      <c r="F366" s="1">
        <v>0.65</v>
      </c>
      <c r="I366" s="1" t="s">
        <v>1</v>
      </c>
      <c r="J366" s="10">
        <v>1.1299999999999999</v>
      </c>
      <c r="M366" s="1" t="s">
        <v>1</v>
      </c>
      <c r="N366" s="10">
        <v>1.05</v>
      </c>
    </row>
    <row r="367" spans="1:15" x14ac:dyDescent="0.25">
      <c r="A367" s="1" t="s">
        <v>1258</v>
      </c>
      <c r="B367" s="1">
        <v>0.87</v>
      </c>
      <c r="E367" s="1" t="s">
        <v>1258</v>
      </c>
      <c r="F367" s="1">
        <v>0.45</v>
      </c>
      <c r="I367" s="1" t="s">
        <v>1258</v>
      </c>
      <c r="J367" s="1">
        <v>0.77</v>
      </c>
      <c r="M367" s="1" t="s">
        <v>1258</v>
      </c>
      <c r="N367" s="1">
        <v>0.81</v>
      </c>
    </row>
    <row r="368" spans="1:15" x14ac:dyDescent="0.25">
      <c r="A368" s="1" t="s">
        <v>1259</v>
      </c>
      <c r="B368" s="1">
        <v>1.46</v>
      </c>
      <c r="E368" s="1" t="s">
        <v>1259</v>
      </c>
      <c r="F368" s="1">
        <v>0.95</v>
      </c>
      <c r="I368" s="1" t="s">
        <v>1259</v>
      </c>
      <c r="J368" s="1">
        <v>1.65</v>
      </c>
      <c r="M368" s="1" t="s">
        <v>1259</v>
      </c>
      <c r="N368" s="1">
        <v>1.36</v>
      </c>
    </row>
    <row r="369" spans="1:14" x14ac:dyDescent="0.25">
      <c r="A369" s="1" t="s">
        <v>1260</v>
      </c>
      <c r="B369" s="1">
        <v>0.38200000000000001</v>
      </c>
      <c r="E369" s="1" t="s">
        <v>1260</v>
      </c>
      <c r="F369" s="1">
        <v>2.5000000000000001E-2</v>
      </c>
      <c r="I369" s="1" t="s">
        <v>1260</v>
      </c>
      <c r="J369" s="1">
        <v>0.54200000000000004</v>
      </c>
      <c r="M369" s="1" t="s">
        <v>1260</v>
      </c>
      <c r="N369" s="1">
        <v>0.70499999999999996</v>
      </c>
    </row>
    <row r="371" spans="1:14" x14ac:dyDescent="0.25">
      <c r="A371" s="4" t="s">
        <v>1374</v>
      </c>
    </row>
    <row r="373" spans="1:14" x14ac:dyDescent="0.25">
      <c r="A373" s="4"/>
      <c r="B373" s="1" t="s">
        <v>1375</v>
      </c>
      <c r="E373" s="1" t="s">
        <v>1376</v>
      </c>
    </row>
    <row r="374" spans="1:14" x14ac:dyDescent="0.25">
      <c r="A374" s="4"/>
      <c r="B374" s="1" t="s">
        <v>1</v>
      </c>
      <c r="C374" s="1" t="s">
        <v>1258</v>
      </c>
      <c r="D374" s="1" t="s">
        <v>1259</v>
      </c>
      <c r="E374" s="1" t="s">
        <v>1</v>
      </c>
      <c r="F374" s="1" t="s">
        <v>1258</v>
      </c>
      <c r="G374" s="1" t="s">
        <v>1259</v>
      </c>
    </row>
    <row r="375" spans="1:14" x14ac:dyDescent="0.25">
      <c r="A375" s="1" t="s">
        <v>1247</v>
      </c>
      <c r="B375" s="1">
        <v>1.25</v>
      </c>
      <c r="C375" s="1">
        <v>0.92</v>
      </c>
      <c r="D375" s="1">
        <v>1.7</v>
      </c>
      <c r="E375" s="1">
        <f>1/B375</f>
        <v>0.8</v>
      </c>
      <c r="F375" s="1">
        <f>1/D375</f>
        <v>0.58823529411764708</v>
      </c>
      <c r="G375" s="1">
        <f>1/C375</f>
        <v>1.0869565217391304</v>
      </c>
    </row>
    <row r="376" spans="1:14" x14ac:dyDescent="0.25">
      <c r="A376" s="1" t="s">
        <v>696</v>
      </c>
      <c r="B376" s="1">
        <v>1.02</v>
      </c>
      <c r="C376" s="1">
        <v>0.78</v>
      </c>
      <c r="D376" s="1">
        <v>1.34</v>
      </c>
      <c r="E376" s="1">
        <f>1/B376</f>
        <v>0.98039215686274506</v>
      </c>
      <c r="F376" s="1">
        <f>1/D376</f>
        <v>0.74626865671641784</v>
      </c>
      <c r="G376" s="1">
        <f>1/C376</f>
        <v>1.2820512820512819</v>
      </c>
    </row>
    <row r="378" spans="1:14" x14ac:dyDescent="0.25">
      <c r="A378" s="4" t="s">
        <v>1377</v>
      </c>
    </row>
    <row r="380" spans="1:14" x14ac:dyDescent="0.25">
      <c r="A380" s="1" t="s">
        <v>1378</v>
      </c>
      <c r="B380" s="1" t="s">
        <v>1268</v>
      </c>
      <c r="C380" s="1" t="s">
        <v>1379</v>
      </c>
      <c r="D380" s="1" t="s">
        <v>1267</v>
      </c>
    </row>
    <row r="381" spans="1:14" x14ac:dyDescent="0.25">
      <c r="A381" s="1" t="s">
        <v>1380</v>
      </c>
      <c r="B381" s="13">
        <v>0.24</v>
      </c>
      <c r="C381" s="1">
        <v>942</v>
      </c>
      <c r="D381" s="6">
        <f>C381*B381</f>
        <v>226.07999999999998</v>
      </c>
    </row>
    <row r="382" spans="1:14" x14ac:dyDescent="0.25">
      <c r="A382" s="1" t="s">
        <v>1381</v>
      </c>
      <c r="B382" s="13">
        <v>0.76</v>
      </c>
      <c r="C382" s="1">
        <v>942</v>
      </c>
      <c r="D382" s="6">
        <f>C382*B382</f>
        <v>715.92</v>
      </c>
    </row>
    <row r="384" spans="1:14" x14ac:dyDescent="0.25">
      <c r="A384" s="1" t="s">
        <v>1382</v>
      </c>
      <c r="B384" s="1" t="s">
        <v>1267</v>
      </c>
      <c r="C384" s="1" t="s">
        <v>1265</v>
      </c>
      <c r="D384" s="1" t="s">
        <v>1264</v>
      </c>
      <c r="F384" s="1" t="s">
        <v>1383</v>
      </c>
      <c r="G384" s="1" t="s">
        <v>1267</v>
      </c>
      <c r="H384" s="1" t="s">
        <v>1265</v>
      </c>
      <c r="I384" s="1" t="s">
        <v>1264</v>
      </c>
    </row>
    <row r="385" spans="1:9" x14ac:dyDescent="0.25">
      <c r="A385" s="1" t="s">
        <v>1381</v>
      </c>
      <c r="B385" s="1">
        <v>619</v>
      </c>
      <c r="C385" s="1">
        <v>206</v>
      </c>
      <c r="D385" s="1">
        <f>B385-C385</f>
        <v>413</v>
      </c>
      <c r="F385" s="1" t="s">
        <v>1381</v>
      </c>
      <c r="G385" s="1">
        <v>682</v>
      </c>
      <c r="H385" s="1">
        <v>228</v>
      </c>
      <c r="I385" s="1">
        <f>G385-H385</f>
        <v>454</v>
      </c>
    </row>
    <row r="386" spans="1:9" x14ac:dyDescent="0.25">
      <c r="A386" s="1" t="s">
        <v>1380</v>
      </c>
      <c r="B386" s="1">
        <f>93+81+43+91</f>
        <v>308</v>
      </c>
      <c r="C386" s="1">
        <f>36+25+20+28</f>
        <v>109</v>
      </c>
      <c r="D386" s="1">
        <f>B386-C386</f>
        <v>199</v>
      </c>
      <c r="F386" s="1" t="s">
        <v>1380</v>
      </c>
      <c r="G386" s="1">
        <f>124+71+25+23</f>
        <v>243</v>
      </c>
      <c r="H386" s="1">
        <f>40+26+9+8</f>
        <v>83</v>
      </c>
      <c r="I386" s="1">
        <f>G386-H386</f>
        <v>160</v>
      </c>
    </row>
    <row r="388" spans="1:9" x14ac:dyDescent="0.25">
      <c r="A388" s="1" t="s">
        <v>1</v>
      </c>
      <c r="B388" s="1">
        <v>1.1000000000000001</v>
      </c>
      <c r="F388" s="1" t="s">
        <v>1</v>
      </c>
      <c r="G388" s="1">
        <v>1.03</v>
      </c>
    </row>
    <row r="389" spans="1:9" x14ac:dyDescent="0.25">
      <c r="A389" s="1" t="s">
        <v>1258</v>
      </c>
      <c r="B389" s="1">
        <v>0.82</v>
      </c>
      <c r="F389" s="1" t="s">
        <v>1258</v>
      </c>
      <c r="G389" s="1">
        <v>0.76</v>
      </c>
    </row>
    <row r="390" spans="1:9" x14ac:dyDescent="0.25">
      <c r="A390" s="1" t="s">
        <v>1259</v>
      </c>
      <c r="B390" s="1">
        <v>1.46</v>
      </c>
      <c r="F390" s="1" t="s">
        <v>1259</v>
      </c>
      <c r="G390" s="1">
        <v>1.41</v>
      </c>
    </row>
    <row r="391" spans="1:9" x14ac:dyDescent="0.25">
      <c r="A391" s="1" t="s">
        <v>1260</v>
      </c>
      <c r="B391" s="1">
        <v>0.52300000000000002</v>
      </c>
      <c r="F391" s="1" t="s">
        <v>1260</v>
      </c>
      <c r="G391" s="1">
        <v>0.83699999999999997</v>
      </c>
    </row>
    <row r="393" spans="1:9" x14ac:dyDescent="0.25">
      <c r="A393" s="1" t="s">
        <v>1384</v>
      </c>
      <c r="B393" s="1" t="s">
        <v>1267</v>
      </c>
      <c r="C393" s="1" t="s">
        <v>1265</v>
      </c>
      <c r="D393" s="1" t="s">
        <v>1264</v>
      </c>
      <c r="F393" s="1" t="s">
        <v>1</v>
      </c>
      <c r="G393" s="1">
        <v>1.34</v>
      </c>
    </row>
    <row r="394" spans="1:9" x14ac:dyDescent="0.25">
      <c r="A394" s="1" t="s">
        <v>1381</v>
      </c>
      <c r="B394" s="1">
        <v>498</v>
      </c>
      <c r="C394" s="1">
        <v>155</v>
      </c>
      <c r="D394" s="1">
        <f>B394-C394</f>
        <v>343</v>
      </c>
      <c r="F394" s="1" t="s">
        <v>1258</v>
      </c>
      <c r="G394" s="1">
        <v>1.02</v>
      </c>
    </row>
    <row r="395" spans="1:9" x14ac:dyDescent="0.25">
      <c r="A395" s="1" t="s">
        <v>1380</v>
      </c>
      <c r="B395" s="1">
        <v>433</v>
      </c>
      <c r="C395" s="1">
        <v>163</v>
      </c>
      <c r="D395" s="1">
        <f>B395-C395</f>
        <v>270</v>
      </c>
      <c r="F395" s="1" t="s">
        <v>1259</v>
      </c>
      <c r="G395" s="1">
        <v>1.75</v>
      </c>
    </row>
    <row r="396" spans="1:9" x14ac:dyDescent="0.25">
      <c r="F396" s="1" t="s">
        <v>1260</v>
      </c>
      <c r="G396" s="1">
        <v>3.6999999999999998E-2</v>
      </c>
    </row>
    <row r="397" spans="1:9" x14ac:dyDescent="0.25">
      <c r="A397" s="4" t="s">
        <v>322</v>
      </c>
    </row>
    <row r="399" spans="1:9" x14ac:dyDescent="0.25">
      <c r="B399" s="1" t="s">
        <v>1385</v>
      </c>
      <c r="E399" s="1" t="s">
        <v>1386</v>
      </c>
    </row>
    <row r="400" spans="1:9" x14ac:dyDescent="0.25">
      <c r="B400" s="1" t="s">
        <v>1387</v>
      </c>
      <c r="C400" s="1" t="s">
        <v>1243</v>
      </c>
      <c r="D400" s="1" t="s">
        <v>1388</v>
      </c>
      <c r="E400" s="1" t="s">
        <v>1387</v>
      </c>
      <c r="F400" s="1" t="s">
        <v>1243</v>
      </c>
      <c r="G400" s="1" t="s">
        <v>1388</v>
      </c>
      <c r="H400" s="1" t="s">
        <v>1246</v>
      </c>
    </row>
    <row r="401" spans="1:16" x14ac:dyDescent="0.25">
      <c r="A401" s="1" t="s">
        <v>1389</v>
      </c>
      <c r="B401" s="1">
        <v>196</v>
      </c>
      <c r="C401" s="1">
        <v>3.1E-2</v>
      </c>
      <c r="D401" s="1">
        <f>C401*B401</f>
        <v>6.0759999999999996</v>
      </c>
      <c r="E401" s="1">
        <v>5077</v>
      </c>
      <c r="F401" s="1">
        <v>1.4E-2</v>
      </c>
      <c r="G401" s="1">
        <f>F401*E401</f>
        <v>71.078000000000003</v>
      </c>
      <c r="H401" s="6">
        <f>SUM(G401,D401)</f>
        <v>77.153999999999996</v>
      </c>
    </row>
    <row r="402" spans="1:16" x14ac:dyDescent="0.25">
      <c r="A402" s="1" t="s">
        <v>1390</v>
      </c>
      <c r="B402" s="1">
        <v>407</v>
      </c>
      <c r="C402" s="1">
        <v>2.9000000000000001E-2</v>
      </c>
      <c r="D402" s="1">
        <f t="shared" ref="D402:D403" si="11">C402*B402</f>
        <v>11.803000000000001</v>
      </c>
      <c r="E402" s="1">
        <v>13203</v>
      </c>
      <c r="F402" s="1">
        <v>1.9E-2</v>
      </c>
      <c r="G402" s="1">
        <f t="shared" ref="G402:G403" si="12">F402*E402</f>
        <v>250.857</v>
      </c>
      <c r="H402" s="6">
        <f t="shared" ref="H402:H404" si="13">SUM(G402,D402)</f>
        <v>262.66000000000003</v>
      </c>
    </row>
    <row r="403" spans="1:16" x14ac:dyDescent="0.25">
      <c r="A403" s="1" t="s">
        <v>1391</v>
      </c>
      <c r="B403" s="1">
        <v>199</v>
      </c>
      <c r="C403" s="1">
        <v>0.09</v>
      </c>
      <c r="D403" s="1">
        <f t="shared" si="11"/>
        <v>17.91</v>
      </c>
      <c r="E403" s="1">
        <v>7925</v>
      </c>
      <c r="F403" s="1">
        <v>2.4E-2</v>
      </c>
      <c r="G403" s="1">
        <f t="shared" si="12"/>
        <v>190.20000000000002</v>
      </c>
      <c r="H403" s="6">
        <f t="shared" si="13"/>
        <v>208.11</v>
      </c>
    </row>
    <row r="404" spans="1:16" x14ac:dyDescent="0.25">
      <c r="A404" s="1" t="s">
        <v>1246</v>
      </c>
      <c r="D404" s="6">
        <f>SUM(D401:D403)</f>
        <v>35.789000000000001</v>
      </c>
      <c r="G404" s="6">
        <f>SUM(G401:G403)</f>
        <v>512.13499999999999</v>
      </c>
      <c r="H404" s="6">
        <f t="shared" si="13"/>
        <v>547.92399999999998</v>
      </c>
    </row>
    <row r="405" spans="1:16" x14ac:dyDescent="0.25">
      <c r="B405" s="1" t="s">
        <v>1385</v>
      </c>
      <c r="F405" s="1" t="s">
        <v>1386</v>
      </c>
      <c r="K405" s="1" t="s">
        <v>1433</v>
      </c>
      <c r="O405" s="1" t="s">
        <v>1</v>
      </c>
      <c r="P405" s="10">
        <v>0.95799999999999996</v>
      </c>
    </row>
    <row r="406" spans="1:16" x14ac:dyDescent="0.25">
      <c r="B406" s="1" t="s">
        <v>1387</v>
      </c>
      <c r="C406" s="1" t="s">
        <v>1243</v>
      </c>
      <c r="D406" s="1" t="s">
        <v>1388</v>
      </c>
      <c r="E406" s="1" t="s">
        <v>1432</v>
      </c>
      <c r="F406" s="1" t="s">
        <v>1387</v>
      </c>
      <c r="G406" s="1" t="s">
        <v>1243</v>
      </c>
      <c r="H406" s="1" t="s">
        <v>1388</v>
      </c>
      <c r="I406" s="1" t="s">
        <v>1432</v>
      </c>
      <c r="L406" s="1" t="s">
        <v>1249</v>
      </c>
      <c r="M406" s="1" t="s">
        <v>1250</v>
      </c>
      <c r="O406" s="1" t="s">
        <v>1258</v>
      </c>
      <c r="P406" s="10">
        <v>0.76600000000000001</v>
      </c>
    </row>
    <row r="407" spans="1:16" x14ac:dyDescent="0.25">
      <c r="A407" s="1" t="s">
        <v>11</v>
      </c>
      <c r="B407" s="1">
        <v>424</v>
      </c>
      <c r="C407" s="1">
        <v>2.5999999999999999E-2</v>
      </c>
      <c r="D407" s="6">
        <f>C407*B407</f>
        <v>11.023999999999999</v>
      </c>
      <c r="E407" s="6">
        <f>B407-D407</f>
        <v>412.976</v>
      </c>
      <c r="F407" s="1">
        <v>4423</v>
      </c>
      <c r="G407" s="1">
        <v>1.9E-2</v>
      </c>
      <c r="H407" s="6">
        <f>G407*F407</f>
        <v>84.036999999999992</v>
      </c>
      <c r="I407" s="6">
        <f>F407-H407</f>
        <v>4338.9629999999997</v>
      </c>
      <c r="K407" s="1" t="s">
        <v>1396</v>
      </c>
      <c r="L407" s="6">
        <f>D407+H407</f>
        <v>95.060999999999993</v>
      </c>
      <c r="M407" s="6">
        <f>E407+I407</f>
        <v>4751.9389999999994</v>
      </c>
      <c r="O407" s="1" t="s">
        <v>1259</v>
      </c>
      <c r="P407" s="10">
        <v>1.198</v>
      </c>
    </row>
    <row r="408" spans="1:16" x14ac:dyDescent="0.25">
      <c r="A408" s="1" t="s">
        <v>1431</v>
      </c>
      <c r="B408" s="1">
        <f>B409-B407</f>
        <v>378</v>
      </c>
      <c r="D408" s="6">
        <f>D409-D407</f>
        <v>24.975999999999999</v>
      </c>
      <c r="E408" s="6">
        <f>B408-D408</f>
        <v>353.024</v>
      </c>
      <c r="F408" s="1">
        <f>F409-F407</f>
        <v>21782</v>
      </c>
      <c r="H408" s="6">
        <f>H409-H407</f>
        <v>427.96300000000002</v>
      </c>
      <c r="I408" s="6">
        <f>F408-H408</f>
        <v>21354.037</v>
      </c>
      <c r="K408" s="1" t="s">
        <v>1331</v>
      </c>
      <c r="L408" s="6">
        <f>D408+H408</f>
        <v>452.93900000000002</v>
      </c>
      <c r="M408" s="6">
        <f>E408+I408</f>
        <v>21707.061000000002</v>
      </c>
      <c r="O408" s="1" t="s">
        <v>1260</v>
      </c>
      <c r="P408" s="1">
        <v>0.70599999999999996</v>
      </c>
    </row>
    <row r="409" spans="1:16" x14ac:dyDescent="0.25">
      <c r="B409" s="1">
        <v>802</v>
      </c>
      <c r="D409" s="6">
        <v>36</v>
      </c>
      <c r="F409" s="1">
        <v>26205</v>
      </c>
      <c r="H409" s="6">
        <v>512</v>
      </c>
      <c r="I409" s="6"/>
    </row>
    <row r="410" spans="1:16" x14ac:dyDescent="0.25">
      <c r="D410" s="6"/>
      <c r="G410" s="6"/>
      <c r="H410" s="6"/>
    </row>
    <row r="411" spans="1:16" x14ac:dyDescent="0.25">
      <c r="B411" s="1" t="s">
        <v>1385</v>
      </c>
      <c r="F411" s="1" t="s">
        <v>1386</v>
      </c>
      <c r="K411" s="1" t="s">
        <v>1433</v>
      </c>
    </row>
    <row r="412" spans="1:16" x14ac:dyDescent="0.25">
      <c r="B412" s="1" t="s">
        <v>1387</v>
      </c>
      <c r="C412" s="1" t="s">
        <v>1243</v>
      </c>
      <c r="D412" s="1" t="s">
        <v>1388</v>
      </c>
      <c r="E412" s="1" t="s">
        <v>1432</v>
      </c>
      <c r="F412" s="1" t="s">
        <v>1387</v>
      </c>
      <c r="G412" s="1" t="s">
        <v>1243</v>
      </c>
      <c r="H412" s="1" t="s">
        <v>1388</v>
      </c>
      <c r="I412" s="1" t="s">
        <v>1432</v>
      </c>
      <c r="L412" s="1" t="s">
        <v>1249</v>
      </c>
      <c r="M412" s="1" t="s">
        <v>1250</v>
      </c>
      <c r="O412" s="1" t="s">
        <v>1</v>
      </c>
      <c r="P412" s="1">
        <v>1.01</v>
      </c>
    </row>
    <row r="413" spans="1:16" x14ac:dyDescent="0.25">
      <c r="A413" s="1" t="s">
        <v>80</v>
      </c>
      <c r="B413" s="1">
        <v>342</v>
      </c>
      <c r="C413" s="1">
        <v>4.7E-2</v>
      </c>
      <c r="D413" s="6">
        <f>C413*B413</f>
        <v>16.074000000000002</v>
      </c>
      <c r="E413" s="6">
        <f>B413-D413</f>
        <v>325.92599999999999</v>
      </c>
      <c r="F413" s="1">
        <v>6158</v>
      </c>
      <c r="G413" s="11">
        <v>1.9E-2</v>
      </c>
      <c r="H413" s="6">
        <f>G413*F413</f>
        <v>117.002</v>
      </c>
      <c r="I413" s="6">
        <f>F413-H413</f>
        <v>6040.9979999999996</v>
      </c>
      <c r="K413" s="1" t="s">
        <v>1393</v>
      </c>
      <c r="L413" s="6">
        <f>D413+H413</f>
        <v>133.07599999999999</v>
      </c>
      <c r="M413" s="6">
        <f>E413+I413</f>
        <v>6366.924</v>
      </c>
      <c r="O413" s="1" t="s">
        <v>1258</v>
      </c>
      <c r="P413" s="1">
        <v>0.83</v>
      </c>
    </row>
    <row r="414" spans="1:16" x14ac:dyDescent="0.25">
      <c r="A414" s="1" t="s">
        <v>1335</v>
      </c>
      <c r="B414" s="1">
        <f>B415-B413</f>
        <v>460</v>
      </c>
      <c r="D414" s="6">
        <f>D415-D413</f>
        <v>19.925999999999998</v>
      </c>
      <c r="E414" s="6">
        <f>B414-D414</f>
        <v>440.07400000000001</v>
      </c>
      <c r="F414" s="1">
        <f>F415-F413</f>
        <v>20047</v>
      </c>
      <c r="G414" s="6"/>
      <c r="H414" s="6">
        <f>H415-H413</f>
        <v>394.99799999999999</v>
      </c>
      <c r="I414" s="6">
        <f>F414-H414</f>
        <v>19652.002</v>
      </c>
      <c r="K414" s="1" t="s">
        <v>1335</v>
      </c>
      <c r="L414" s="6">
        <f>D414+H414</f>
        <v>414.92399999999998</v>
      </c>
      <c r="M414" s="6">
        <f>E414+I414</f>
        <v>20092.076000000001</v>
      </c>
      <c r="O414" s="1" t="s">
        <v>1259</v>
      </c>
      <c r="P414" s="1">
        <v>1.23</v>
      </c>
    </row>
    <row r="415" spans="1:16" x14ac:dyDescent="0.25">
      <c r="B415" s="1">
        <v>802</v>
      </c>
      <c r="D415" s="6">
        <v>36</v>
      </c>
      <c r="F415" s="1">
        <v>26205</v>
      </c>
      <c r="G415" s="6"/>
      <c r="H415" s="6">
        <v>512</v>
      </c>
      <c r="O415" s="1" t="s">
        <v>1260</v>
      </c>
      <c r="P415" s="1">
        <v>0.91100000000000003</v>
      </c>
    </row>
    <row r="417" spans="1:7" x14ac:dyDescent="0.25">
      <c r="A417" s="4" t="s">
        <v>1392</v>
      </c>
    </row>
    <row r="419" spans="1:7" x14ac:dyDescent="0.25">
      <c r="B419" s="1" t="s">
        <v>1393</v>
      </c>
      <c r="C419" s="1" t="s">
        <v>1335</v>
      </c>
      <c r="D419" s="1" t="s">
        <v>1246</v>
      </c>
      <c r="F419" s="1" t="s">
        <v>1</v>
      </c>
      <c r="G419" s="1">
        <v>0.65</v>
      </c>
    </row>
    <row r="420" spans="1:7" x14ac:dyDescent="0.25">
      <c r="A420" s="1" t="s">
        <v>1249</v>
      </c>
      <c r="B420" s="1">
        <v>22</v>
      </c>
      <c r="C420" s="1">
        <v>238</v>
      </c>
      <c r="D420" s="1">
        <f>SUM(B420:C420)</f>
        <v>260</v>
      </c>
      <c r="F420" s="1" t="s">
        <v>1258</v>
      </c>
      <c r="G420" s="1">
        <v>0.41</v>
      </c>
    </row>
    <row r="421" spans="1:7" x14ac:dyDescent="0.25">
      <c r="A421" s="1" t="s">
        <v>1250</v>
      </c>
      <c r="B421" s="1">
        <f>B422-B420</f>
        <v>210</v>
      </c>
      <c r="C421" s="1">
        <f>C422-C420</f>
        <v>1478</v>
      </c>
      <c r="D421" s="1">
        <f t="shared" ref="D421:D422" si="14">SUM(B421:C421)</f>
        <v>1688</v>
      </c>
      <c r="F421" s="1" t="s">
        <v>1259</v>
      </c>
      <c r="G421" s="1">
        <v>1.03</v>
      </c>
    </row>
    <row r="422" spans="1:7" x14ac:dyDescent="0.25">
      <c r="A422" s="1" t="s">
        <v>1246</v>
      </c>
      <c r="B422" s="1">
        <v>232</v>
      </c>
      <c r="C422" s="1">
        <v>1716</v>
      </c>
      <c r="D422" s="1">
        <f t="shared" si="14"/>
        <v>1948</v>
      </c>
      <c r="F422" s="1" t="s">
        <v>1260</v>
      </c>
      <c r="G422" s="1">
        <v>6.7000000000000004E-2</v>
      </c>
    </row>
    <row r="424" spans="1:7" x14ac:dyDescent="0.25">
      <c r="B424" s="1" t="s">
        <v>541</v>
      </c>
      <c r="C424" s="1" t="s">
        <v>1262</v>
      </c>
      <c r="D424" s="1" t="s">
        <v>1246</v>
      </c>
      <c r="F424" s="1" t="s">
        <v>1</v>
      </c>
      <c r="G424" s="1">
        <v>1.06</v>
      </c>
    </row>
    <row r="425" spans="1:7" x14ac:dyDescent="0.25">
      <c r="A425" s="1" t="s">
        <v>1249</v>
      </c>
      <c r="B425" s="1">
        <v>28</v>
      </c>
      <c r="C425" s="1">
        <v>231</v>
      </c>
      <c r="D425" s="1">
        <f>SUM(B425:C425)</f>
        <v>259</v>
      </c>
      <c r="F425" s="1" t="s">
        <v>1258</v>
      </c>
      <c r="G425" s="1">
        <v>0.69</v>
      </c>
    </row>
    <row r="426" spans="1:7" x14ac:dyDescent="0.25">
      <c r="A426" s="1" t="s">
        <v>1250</v>
      </c>
      <c r="B426" s="1">
        <f>B427-B425</f>
        <v>174</v>
      </c>
      <c r="C426" s="1">
        <f>C427-C425</f>
        <v>1516</v>
      </c>
      <c r="D426" s="1">
        <f t="shared" ref="D426:D427" si="15">SUM(B426:C426)</f>
        <v>1690</v>
      </c>
      <c r="F426" s="1" t="s">
        <v>1259</v>
      </c>
      <c r="G426" s="1">
        <v>1.61</v>
      </c>
    </row>
    <row r="427" spans="1:7" x14ac:dyDescent="0.25">
      <c r="A427" s="1" t="s">
        <v>1246</v>
      </c>
      <c r="B427" s="1">
        <v>202</v>
      </c>
      <c r="C427" s="1">
        <v>1747</v>
      </c>
      <c r="D427" s="1">
        <f t="shared" si="15"/>
        <v>1949</v>
      </c>
      <c r="F427" s="1" t="s">
        <v>1260</v>
      </c>
      <c r="G427" s="1">
        <v>0.8</v>
      </c>
    </row>
    <row r="429" spans="1:7" x14ac:dyDescent="0.25">
      <c r="A429" s="4" t="s">
        <v>222</v>
      </c>
    </row>
    <row r="431" spans="1:7" x14ac:dyDescent="0.25">
      <c r="B431" s="1" t="s">
        <v>541</v>
      </c>
      <c r="C431" s="1" t="s">
        <v>1262</v>
      </c>
      <c r="D431" s="1" t="s">
        <v>1246</v>
      </c>
      <c r="F431" s="1" t="s">
        <v>1</v>
      </c>
      <c r="G431" s="1">
        <v>2.21</v>
      </c>
    </row>
    <row r="432" spans="1:7" x14ac:dyDescent="0.25">
      <c r="A432" s="1" t="s">
        <v>1249</v>
      </c>
      <c r="B432" s="1">
        <v>72</v>
      </c>
      <c r="C432" s="1">
        <f>D432-B432</f>
        <v>120</v>
      </c>
      <c r="D432" s="1">
        <v>192</v>
      </c>
      <c r="F432" s="1" t="s">
        <v>1258</v>
      </c>
      <c r="G432" s="1">
        <v>1.55</v>
      </c>
    </row>
    <row r="433" spans="1:7" x14ac:dyDescent="0.25">
      <c r="A433" s="1" t="s">
        <v>1250</v>
      </c>
      <c r="B433" s="1">
        <f>B434-B432</f>
        <v>130</v>
      </c>
      <c r="C433" s="1">
        <f t="shared" ref="C433:C434" si="16">D433-B433</f>
        <v>478</v>
      </c>
      <c r="D433" s="1">
        <f>D434-D432</f>
        <v>608</v>
      </c>
      <c r="F433" s="1" t="s">
        <v>1259</v>
      </c>
      <c r="G433" s="1">
        <v>3.13</v>
      </c>
    </row>
    <row r="434" spans="1:7" x14ac:dyDescent="0.25">
      <c r="A434" s="1" t="s">
        <v>1246</v>
      </c>
      <c r="B434" s="1">
        <v>202</v>
      </c>
      <c r="C434" s="1">
        <f t="shared" si="16"/>
        <v>598</v>
      </c>
      <c r="D434" s="1">
        <v>800</v>
      </c>
      <c r="F434" s="1" t="s">
        <v>1260</v>
      </c>
      <c r="G434" s="1" t="s">
        <v>60</v>
      </c>
    </row>
    <row r="436" spans="1:7" x14ac:dyDescent="0.25">
      <c r="B436" s="1" t="s">
        <v>541</v>
      </c>
      <c r="C436" s="1" t="s">
        <v>1262</v>
      </c>
      <c r="D436" s="1" t="s">
        <v>1246</v>
      </c>
      <c r="F436" s="1" t="s">
        <v>1</v>
      </c>
      <c r="G436" s="1">
        <v>2.2599999999999998</v>
      </c>
    </row>
    <row r="437" spans="1:7" x14ac:dyDescent="0.25">
      <c r="A437" s="1" t="s">
        <v>1442</v>
      </c>
      <c r="B437" s="1">
        <v>8</v>
      </c>
      <c r="C437" s="1">
        <f>D437-B437</f>
        <v>13</v>
      </c>
      <c r="D437" s="1">
        <v>21</v>
      </c>
      <c r="F437" s="1" t="s">
        <v>1258</v>
      </c>
      <c r="G437" s="1">
        <v>0.92</v>
      </c>
    </row>
    <row r="438" spans="1:7" x14ac:dyDescent="0.25">
      <c r="A438" s="1" t="s">
        <v>1250</v>
      </c>
      <c r="B438" s="1">
        <f>B439-B437</f>
        <v>130</v>
      </c>
      <c r="C438" s="1">
        <f>C439-C437</f>
        <v>478</v>
      </c>
      <c r="D438" s="1">
        <f>D439-D437</f>
        <v>608</v>
      </c>
      <c r="F438" s="1" t="s">
        <v>1259</v>
      </c>
      <c r="G438" s="1">
        <v>5.58</v>
      </c>
    </row>
    <row r="439" spans="1:7" x14ac:dyDescent="0.25">
      <c r="A439" s="1" t="s">
        <v>1246</v>
      </c>
      <c r="B439" s="1">
        <f>202-(72-8)</f>
        <v>138</v>
      </c>
      <c r="C439" s="1">
        <f>598-(120-13)</f>
        <v>491</v>
      </c>
      <c r="D439" s="1">
        <f>SUM(B439:C439)</f>
        <v>629</v>
      </c>
      <c r="F439" s="1" t="s">
        <v>1260</v>
      </c>
      <c r="G439" s="1">
        <v>7.5999999999999998E-2</v>
      </c>
    </row>
    <row r="441" spans="1:7" x14ac:dyDescent="0.25">
      <c r="A441" s="4" t="s">
        <v>168</v>
      </c>
    </row>
    <row r="443" spans="1:7" x14ac:dyDescent="0.25">
      <c r="B443" s="1" t="s">
        <v>1394</v>
      </c>
      <c r="C443" s="1" t="s">
        <v>1395</v>
      </c>
      <c r="E443" s="4"/>
      <c r="F443" s="1" t="s">
        <v>1</v>
      </c>
      <c r="G443" s="1">
        <v>0.95</v>
      </c>
    </row>
    <row r="444" spans="1:7" x14ac:dyDescent="0.25">
      <c r="A444" s="1" t="s">
        <v>1249</v>
      </c>
      <c r="B444" s="1">
        <v>157</v>
      </c>
      <c r="C444" s="1">
        <v>123</v>
      </c>
      <c r="F444" s="1" t="s">
        <v>1258</v>
      </c>
      <c r="G444" s="1">
        <v>0.66</v>
      </c>
    </row>
    <row r="445" spans="1:7" x14ac:dyDescent="0.25">
      <c r="A445" s="1" t="s">
        <v>1250</v>
      </c>
      <c r="B445" s="1">
        <v>131</v>
      </c>
      <c r="C445" s="1">
        <v>97</v>
      </c>
      <c r="F445" s="1" t="s">
        <v>1259</v>
      </c>
      <c r="G445" s="1">
        <v>1.35</v>
      </c>
    </row>
    <row r="446" spans="1:7" x14ac:dyDescent="0.25">
      <c r="A446" s="1" t="s">
        <v>1246</v>
      </c>
      <c r="B446" s="1">
        <v>288</v>
      </c>
      <c r="C446" s="1">
        <v>220</v>
      </c>
      <c r="F446" s="1" t="s">
        <v>1260</v>
      </c>
      <c r="G446" s="1">
        <v>0.754</v>
      </c>
    </row>
    <row r="448" spans="1:7" x14ac:dyDescent="0.25">
      <c r="B448" s="1" t="s">
        <v>1396</v>
      </c>
      <c r="C448" s="1" t="s">
        <v>1331</v>
      </c>
      <c r="E448" s="4"/>
      <c r="F448" s="1" t="s">
        <v>1</v>
      </c>
      <c r="G448" s="1">
        <v>1.64</v>
      </c>
    </row>
    <row r="449" spans="1:7" x14ac:dyDescent="0.25">
      <c r="A449" s="1" t="s">
        <v>1249</v>
      </c>
      <c r="B449" s="1">
        <v>168</v>
      </c>
      <c r="C449" s="1">
        <v>112</v>
      </c>
      <c r="F449" s="1" t="s">
        <v>1258</v>
      </c>
      <c r="G449" s="1">
        <v>1.1499999999999999</v>
      </c>
    </row>
    <row r="450" spans="1:7" x14ac:dyDescent="0.25">
      <c r="A450" s="1" t="s">
        <v>1250</v>
      </c>
      <c r="B450" s="1">
        <v>109</v>
      </c>
      <c r="C450" s="1">
        <v>119</v>
      </c>
      <c r="F450" s="1" t="s">
        <v>1259</v>
      </c>
      <c r="G450" s="1">
        <v>2.33</v>
      </c>
    </row>
    <row r="451" spans="1:7" x14ac:dyDescent="0.25">
      <c r="A451" s="1" t="s">
        <v>1246</v>
      </c>
      <c r="B451" s="1">
        <v>277</v>
      </c>
      <c r="C451" s="1">
        <v>231</v>
      </c>
      <c r="F451" s="1" t="s">
        <v>1260</v>
      </c>
      <c r="G451" s="1">
        <v>6.0000000000000001E-3</v>
      </c>
    </row>
    <row r="453" spans="1:7" x14ac:dyDescent="0.25">
      <c r="A453" s="4" t="s">
        <v>98</v>
      </c>
    </row>
    <row r="455" spans="1:7" x14ac:dyDescent="0.25">
      <c r="B455" s="1" t="s">
        <v>1397</v>
      </c>
      <c r="C455" s="1" t="s">
        <v>1398</v>
      </c>
      <c r="D455" s="1" t="s">
        <v>1246</v>
      </c>
      <c r="E455" s="4"/>
      <c r="F455" s="1" t="s">
        <v>1</v>
      </c>
      <c r="G455" s="1">
        <v>0.78</v>
      </c>
    </row>
    <row r="456" spans="1:7" x14ac:dyDescent="0.25">
      <c r="A456" s="1" t="s">
        <v>1249</v>
      </c>
      <c r="B456" s="1">
        <v>5</v>
      </c>
      <c r="C456" s="1">
        <v>2</v>
      </c>
      <c r="D456" s="1">
        <f>SUM(B456:C456)</f>
        <v>7</v>
      </c>
      <c r="F456" s="1" t="s">
        <v>1258</v>
      </c>
      <c r="G456" s="1">
        <v>0.15</v>
      </c>
    </row>
    <row r="457" spans="1:7" x14ac:dyDescent="0.25">
      <c r="A457" s="1" t="s">
        <v>1250</v>
      </c>
      <c r="B457" s="1">
        <f>B458-B456</f>
        <v>102</v>
      </c>
      <c r="C457" s="1">
        <f>C458-C456</f>
        <v>32</v>
      </c>
      <c r="D457" s="1">
        <f t="shared" ref="D457:D458" si="17">SUM(B457:C457)</f>
        <v>134</v>
      </c>
      <c r="F457" s="1" t="s">
        <v>1259</v>
      </c>
      <c r="G457" s="1">
        <v>4.24</v>
      </c>
    </row>
    <row r="458" spans="1:7" x14ac:dyDescent="0.25">
      <c r="A458" s="1" t="s">
        <v>1246</v>
      </c>
      <c r="B458" s="1">
        <v>107</v>
      </c>
      <c r="C458" s="1">
        <v>34</v>
      </c>
      <c r="D458" s="1">
        <f t="shared" si="17"/>
        <v>141</v>
      </c>
      <c r="F458" s="1" t="s">
        <v>1260</v>
      </c>
      <c r="G458" s="1">
        <v>0.77800000000000002</v>
      </c>
    </row>
    <row r="461" spans="1:7" x14ac:dyDescent="0.25">
      <c r="B461" s="1" t="s">
        <v>1399</v>
      </c>
      <c r="C461" s="1" t="s">
        <v>1400</v>
      </c>
      <c r="D461" s="1" t="s">
        <v>1246</v>
      </c>
      <c r="E461" s="4"/>
      <c r="F461" s="1" t="s">
        <v>1</v>
      </c>
      <c r="G461" s="1">
        <v>16.37</v>
      </c>
    </row>
    <row r="462" spans="1:7" x14ac:dyDescent="0.25">
      <c r="A462" s="1" t="s">
        <v>1249</v>
      </c>
      <c r="B462" s="1">
        <v>3</v>
      </c>
      <c r="C462" s="1">
        <v>2</v>
      </c>
      <c r="D462" s="1">
        <f>SUM(B462:C462)</f>
        <v>5</v>
      </c>
      <c r="F462" s="1" t="s">
        <v>1258</v>
      </c>
      <c r="G462" s="1">
        <v>2.4700000000000002</v>
      </c>
    </row>
    <row r="463" spans="1:7" x14ac:dyDescent="0.25">
      <c r="A463" s="1" t="s">
        <v>1250</v>
      </c>
      <c r="B463" s="1">
        <v>11</v>
      </c>
      <c r="C463" s="1">
        <f>C464-C462</f>
        <v>120</v>
      </c>
      <c r="D463" s="1">
        <f t="shared" ref="D463:D464" si="18">SUM(B463:C463)</f>
        <v>131</v>
      </c>
      <c r="F463" s="1" t="s">
        <v>1259</v>
      </c>
      <c r="G463" s="1">
        <v>108.62</v>
      </c>
    </row>
    <row r="464" spans="1:7" x14ac:dyDescent="0.25">
      <c r="A464" s="1" t="s">
        <v>1246</v>
      </c>
      <c r="B464" s="1">
        <v>14</v>
      </c>
      <c r="C464" s="1">
        <v>122</v>
      </c>
      <c r="D464" s="1">
        <f t="shared" si="18"/>
        <v>136</v>
      </c>
      <c r="F464" s="1" t="s">
        <v>1260</v>
      </c>
      <c r="G464" s="1">
        <v>4.0000000000000001E-3</v>
      </c>
    </row>
    <row r="466" spans="1:7" x14ac:dyDescent="0.25">
      <c r="B466" s="1" t="s">
        <v>1406</v>
      </c>
      <c r="C466" s="1" t="s">
        <v>1407</v>
      </c>
      <c r="F466" s="1">
        <f>((B467+0.5)*(C468+0.5))/((B468+0.5)*(C467+0.5))</f>
        <v>0.68</v>
      </c>
    </row>
    <row r="467" spans="1:7" x14ac:dyDescent="0.25">
      <c r="A467" s="1" t="s">
        <v>1249</v>
      </c>
      <c r="B467" s="1">
        <v>0</v>
      </c>
      <c r="C467" s="1">
        <v>7</v>
      </c>
      <c r="F467" s="10">
        <f>SQRT(1/(B467+0.5) + 1/(B468+0.5) + 1/(C467+0.5) + 1/(C468+0.5))</f>
        <v>1.4903611879635874</v>
      </c>
    </row>
    <row r="468" spans="1:7" x14ac:dyDescent="0.25">
      <c r="A468" s="1" t="s">
        <v>1250</v>
      </c>
      <c r="B468" s="1">
        <v>12</v>
      </c>
      <c r="C468" s="1">
        <f>C469-C467</f>
        <v>127</v>
      </c>
      <c r="F468" s="10">
        <f>EXP(LN(((B467+0.5)*(C468+0.5))/((B468+0.5)*(C467+0.5))) - 1.96*SQRT(1/(B467+0.5) + 1/(B468+0.5) + 1/(C467+0.5) + 1/(C468+0.5)))</f>
        <v>3.6634296693501385E-2</v>
      </c>
    </row>
    <row r="469" spans="1:7" x14ac:dyDescent="0.25">
      <c r="A469" s="1" t="s">
        <v>1246</v>
      </c>
      <c r="B469" s="1">
        <v>12</v>
      </c>
      <c r="C469" s="1">
        <v>134</v>
      </c>
      <c r="F469" s="10">
        <f>EXP(LN(((B467+0.5)*(C468+0.5))/((B468+0.5)*(C467+0.5))) + 1.96*SQRT(1/(B467+0.5) + 1/(B468+0.5) + 1/(C467+0.5) + 1/(C468+0.5)))</f>
        <v>12.622052058720868</v>
      </c>
    </row>
    <row r="470" spans="1:7" x14ac:dyDescent="0.25">
      <c r="A470" s="1" t="s">
        <v>1448</v>
      </c>
      <c r="C470" s="1">
        <f>SUM(B469:C469)</f>
        <v>146</v>
      </c>
      <c r="F470" s="10"/>
    </row>
    <row r="471" spans="1:7" x14ac:dyDescent="0.25">
      <c r="B471" s="1" t="s">
        <v>1446</v>
      </c>
      <c r="C471" s="1" t="s">
        <v>1447</v>
      </c>
      <c r="F471" s="10">
        <f>((B472+0.5)*(C473+0.5))/((B473+0.5)*(C472+0.5))</f>
        <v>1.8391608391608392</v>
      </c>
    </row>
    <row r="472" spans="1:7" x14ac:dyDescent="0.25">
      <c r="A472" s="1" t="s">
        <v>1249</v>
      </c>
      <c r="B472" s="1">
        <v>0</v>
      </c>
      <c r="C472" s="1">
        <v>6</v>
      </c>
      <c r="F472" s="10">
        <f>SQRT(1/(B472+0.5) + 1/(B473+0.5) + 1/(C472+0.5) + 1/(C473+0.5))</f>
        <v>1.5307739540513412</v>
      </c>
    </row>
    <row r="473" spans="1:7" x14ac:dyDescent="0.25">
      <c r="A473" s="1" t="s">
        <v>1250</v>
      </c>
      <c r="B473" s="1">
        <v>5</v>
      </c>
      <c r="C473" s="1">
        <f>C474-C472</f>
        <v>131</v>
      </c>
      <c r="F473" s="10">
        <f>EXP(LN(((B472+0.5)*(C473+0.5))/((B473+0.5)*(C472+0.5))) - 1.96*SQRT(1/(B472+0.5) + 1/(B473+0.5) + 1/(C472+0.5) + 1/(C473+0.5)))</f>
        <v>9.1537409064145883E-2</v>
      </c>
    </row>
    <row r="474" spans="1:7" x14ac:dyDescent="0.25">
      <c r="A474" s="1" t="s">
        <v>1246</v>
      </c>
      <c r="B474" s="1">
        <v>5</v>
      </c>
      <c r="C474" s="1">
        <v>137</v>
      </c>
      <c r="F474" s="10">
        <f>EXP(LN(((B472+0.5)*(C473+0.5))/((B473+0.5)*(C472+0.5))) + 1.96*SQRT(1/(B472+0.5) + 1/(B473+0.5) + 1/(C472+0.5) + 1/(C473+0.5)))</f>
        <v>36.952243098037307</v>
      </c>
    </row>
    <row r="475" spans="1:7" x14ac:dyDescent="0.25">
      <c r="A475" s="1" t="s">
        <v>1448</v>
      </c>
      <c r="C475" s="1">
        <f>SUM(B474:C474)</f>
        <v>142</v>
      </c>
    </row>
    <row r="476" spans="1:7" x14ac:dyDescent="0.25">
      <c r="B476" s="1" t="s">
        <v>1401</v>
      </c>
      <c r="C476" s="1" t="s">
        <v>1402</v>
      </c>
      <c r="F476" s="1" t="s">
        <v>1</v>
      </c>
      <c r="G476" s="1">
        <v>2.42</v>
      </c>
    </row>
    <row r="477" spans="1:7" x14ac:dyDescent="0.25">
      <c r="A477" s="1" t="s">
        <v>1249</v>
      </c>
      <c r="B477" s="1">
        <v>4</v>
      </c>
      <c r="C477" s="1">
        <v>3</v>
      </c>
      <c r="F477" s="1" t="s">
        <v>1258</v>
      </c>
      <c r="G477" s="1">
        <v>0.52</v>
      </c>
    </row>
    <row r="478" spans="1:7" x14ac:dyDescent="0.25">
      <c r="A478" s="1" t="s">
        <v>1250</v>
      </c>
      <c r="B478" s="1">
        <f>B479-B477</f>
        <v>48</v>
      </c>
      <c r="C478" s="1">
        <f>C479-C477</f>
        <v>87</v>
      </c>
      <c r="F478" s="1" t="s">
        <v>1259</v>
      </c>
      <c r="G478" s="1">
        <v>11.25</v>
      </c>
    </row>
    <row r="479" spans="1:7" x14ac:dyDescent="0.25">
      <c r="A479" s="1" t="s">
        <v>1246</v>
      </c>
      <c r="B479" s="1">
        <v>52</v>
      </c>
      <c r="C479" s="1">
        <v>90</v>
      </c>
      <c r="F479" s="1" t="s">
        <v>1260</v>
      </c>
      <c r="G479" s="1">
        <v>0.26100000000000001</v>
      </c>
    </row>
    <row r="481" spans="1:11" x14ac:dyDescent="0.25">
      <c r="B481" s="1" t="s">
        <v>1444</v>
      </c>
      <c r="C481" s="1" t="s">
        <v>1445</v>
      </c>
      <c r="F481" s="1" t="s">
        <v>1</v>
      </c>
      <c r="G481" s="1">
        <v>0.95</v>
      </c>
    </row>
    <row r="482" spans="1:11" x14ac:dyDescent="0.25">
      <c r="A482" s="1" t="s">
        <v>1249</v>
      </c>
      <c r="B482" s="1">
        <v>3</v>
      </c>
      <c r="C482" s="1">
        <v>4</v>
      </c>
      <c r="F482" s="1" t="s">
        <v>1258</v>
      </c>
      <c r="G482" s="1">
        <v>0.2</v>
      </c>
    </row>
    <row r="483" spans="1:11" x14ac:dyDescent="0.25">
      <c r="A483" s="1" t="s">
        <v>1250</v>
      </c>
      <c r="B483" s="1">
        <f>B484-B482</f>
        <v>60</v>
      </c>
      <c r="C483" s="1">
        <f>C484-C482</f>
        <v>76</v>
      </c>
      <c r="F483" s="1" t="s">
        <v>1259</v>
      </c>
      <c r="G483" s="1">
        <v>4.41</v>
      </c>
    </row>
    <row r="484" spans="1:11" x14ac:dyDescent="0.25">
      <c r="A484" s="1" t="s">
        <v>1246</v>
      </c>
      <c r="B484" s="1">
        <v>63</v>
      </c>
      <c r="C484" s="1">
        <v>80</v>
      </c>
      <c r="F484" s="1" t="s">
        <v>1260</v>
      </c>
      <c r="G484" s="1">
        <v>0.94799999999999995</v>
      </c>
    </row>
    <row r="485" spans="1:11" x14ac:dyDescent="0.25">
      <c r="C485" s="1">
        <f>SUM(B484:C484)</f>
        <v>143</v>
      </c>
    </row>
    <row r="486" spans="1:11" x14ac:dyDescent="0.25">
      <c r="A486" s="4"/>
    </row>
    <row r="487" spans="1:11" x14ac:dyDescent="0.25">
      <c r="A487" s="4" t="s">
        <v>1403</v>
      </c>
    </row>
    <row r="488" spans="1:11" x14ac:dyDescent="0.25">
      <c r="A488" s="4"/>
      <c r="B488" s="4"/>
      <c r="C488" s="4"/>
      <c r="D488" s="4"/>
      <c r="E488" s="4"/>
      <c r="F488" s="4"/>
    </row>
    <row r="489" spans="1:11" x14ac:dyDescent="0.25">
      <c r="B489" s="1" t="s">
        <v>1397</v>
      </c>
      <c r="C489" s="1" t="s">
        <v>1398</v>
      </c>
      <c r="D489" s="1" t="s">
        <v>1246</v>
      </c>
      <c r="E489" s="4"/>
      <c r="F489" s="1" t="s">
        <v>1</v>
      </c>
      <c r="G489" s="1">
        <v>2.98</v>
      </c>
      <c r="H489" s="1">
        <f>B490/C490*C491/B491</f>
        <v>2.9772727272727271</v>
      </c>
      <c r="I489" s="1">
        <f>SQRT(1/B490+1/C490+1/B491+1/C491)</f>
        <v>0.45180097405235253</v>
      </c>
      <c r="J489" s="1">
        <f>EXP(LN(H489)-1.96*I489)</f>
        <v>1.2281116921891722</v>
      </c>
      <c r="K489" s="1">
        <f>EXP(LN(H489)+1.96*I489)</f>
        <v>7.2177090641985311</v>
      </c>
    </row>
    <row r="490" spans="1:11" x14ac:dyDescent="0.25">
      <c r="A490" s="1" t="s">
        <v>1249</v>
      </c>
      <c r="B490" s="1">
        <v>7</v>
      </c>
      <c r="C490" s="1">
        <v>22</v>
      </c>
      <c r="D490" s="1">
        <f>SUM(B490:C490)</f>
        <v>29</v>
      </c>
      <c r="F490" s="1" t="s">
        <v>1258</v>
      </c>
      <c r="G490" s="1">
        <v>1.23</v>
      </c>
    </row>
    <row r="491" spans="1:11" x14ac:dyDescent="0.25">
      <c r="A491" s="1" t="s">
        <v>1250</v>
      </c>
      <c r="B491" s="1">
        <f>B492-B490</f>
        <v>70</v>
      </c>
      <c r="C491" s="1">
        <f>C492-C490</f>
        <v>655</v>
      </c>
      <c r="D491" s="1">
        <f t="shared" ref="D491:D492" si="19">SUM(B491:C491)</f>
        <v>725</v>
      </c>
      <c r="F491" s="1" t="s">
        <v>1259</v>
      </c>
      <c r="G491" s="1">
        <v>7.22</v>
      </c>
    </row>
    <row r="492" spans="1:11" x14ac:dyDescent="0.25">
      <c r="A492" s="1" t="s">
        <v>1246</v>
      </c>
      <c r="B492" s="1">
        <v>77</v>
      </c>
      <c r="C492" s="1">
        <v>677</v>
      </c>
      <c r="D492" s="1">
        <f t="shared" si="19"/>
        <v>754</v>
      </c>
      <c r="F492" s="1" t="s">
        <v>1260</v>
      </c>
      <c r="G492" s="1">
        <v>1.6E-2</v>
      </c>
    </row>
    <row r="494" spans="1:11" x14ac:dyDescent="0.25">
      <c r="B494" s="1" t="s">
        <v>1404</v>
      </c>
      <c r="C494" s="1" t="s">
        <v>1331</v>
      </c>
      <c r="D494" s="1" t="s">
        <v>1246</v>
      </c>
      <c r="E494" s="4"/>
      <c r="F494" s="1" t="s">
        <v>1</v>
      </c>
      <c r="G494" s="1">
        <v>3.79</v>
      </c>
      <c r="H494" s="1">
        <f>B495/C495*C496/B496</f>
        <v>3.7870129870129872</v>
      </c>
      <c r="I494" s="1">
        <f>SQRT(1/B495+1/C495+1/B496+1/C496)</f>
        <v>0.41909585296763235</v>
      </c>
      <c r="J494" s="1">
        <f>EXP(LN(H494)-1.96*I494)</f>
        <v>1.6655405184648502</v>
      </c>
      <c r="K494" s="1">
        <f>EXP(LN(H494)+1.96*I494)</f>
        <v>8.6106985719109002</v>
      </c>
    </row>
    <row r="495" spans="1:11" x14ac:dyDescent="0.25">
      <c r="A495" s="1" t="s">
        <v>1249</v>
      </c>
      <c r="B495" s="1">
        <v>9</v>
      </c>
      <c r="C495" s="1">
        <v>20</v>
      </c>
      <c r="D495" s="1">
        <f>SUM(B495:C495)</f>
        <v>29</v>
      </c>
      <c r="F495" s="1" t="s">
        <v>1258</v>
      </c>
      <c r="G495" s="1">
        <v>1.67</v>
      </c>
    </row>
    <row r="496" spans="1:11" x14ac:dyDescent="0.25">
      <c r="A496" s="1" t="s">
        <v>1250</v>
      </c>
      <c r="B496" s="1">
        <f>B497-B495</f>
        <v>77</v>
      </c>
      <c r="C496" s="1">
        <f>C497-C495</f>
        <v>648</v>
      </c>
      <c r="D496" s="1">
        <f t="shared" ref="D496:D497" si="20">SUM(B496:C496)</f>
        <v>725</v>
      </c>
      <c r="F496" s="1" t="s">
        <v>1259</v>
      </c>
      <c r="G496" s="1">
        <v>8.61</v>
      </c>
    </row>
    <row r="497" spans="1:11" x14ac:dyDescent="0.25">
      <c r="A497" s="1" t="s">
        <v>1246</v>
      </c>
      <c r="B497" s="1">
        <v>86</v>
      </c>
      <c r="C497" s="1">
        <v>668</v>
      </c>
      <c r="D497" s="1">
        <f t="shared" si="20"/>
        <v>754</v>
      </c>
      <c r="F497" s="1" t="s">
        <v>1260</v>
      </c>
      <c r="G497" s="1">
        <v>2E-3</v>
      </c>
    </row>
    <row r="499" spans="1:11" x14ac:dyDescent="0.25">
      <c r="B499" s="1" t="s">
        <v>1405</v>
      </c>
      <c r="C499" s="1" t="s">
        <v>1331</v>
      </c>
      <c r="D499" s="1" t="s">
        <v>1246</v>
      </c>
      <c r="E499" s="4"/>
      <c r="F499" s="1" t="s">
        <v>1</v>
      </c>
      <c r="G499" s="1">
        <v>5.45</v>
      </c>
      <c r="H499" s="1">
        <f>B500/C500*C501/B501</f>
        <v>5.4488636363636358</v>
      </c>
      <c r="I499" s="1">
        <f>SQRT(1/B500+1/C500+1/B501+1/C501)</f>
        <v>0.46343450705173739</v>
      </c>
      <c r="J499" s="1">
        <f>EXP(LN(H499)-1.96*I499)</f>
        <v>2.1969618881398043</v>
      </c>
      <c r="K499" s="1">
        <f>EXP(LN(H499)+1.96*I499)</f>
        <v>13.514169311705691</v>
      </c>
    </row>
    <row r="500" spans="1:11" x14ac:dyDescent="0.25">
      <c r="A500" s="1" t="s">
        <v>1249</v>
      </c>
      <c r="B500" s="1">
        <v>7</v>
      </c>
      <c r="C500" s="1">
        <v>22</v>
      </c>
      <c r="D500" s="1">
        <f>SUM(B500:C500)</f>
        <v>29</v>
      </c>
      <c r="F500" s="1" t="s">
        <v>1258</v>
      </c>
      <c r="G500" s="1">
        <v>2.2000000000000002</v>
      </c>
    </row>
    <row r="501" spans="1:11" x14ac:dyDescent="0.25">
      <c r="A501" s="1" t="s">
        <v>1250</v>
      </c>
      <c r="B501" s="1">
        <f>B502-B500</f>
        <v>40</v>
      </c>
      <c r="C501" s="1">
        <f>C502-C500</f>
        <v>685</v>
      </c>
      <c r="D501" s="1">
        <f t="shared" ref="D501:D502" si="21">SUM(B501:C501)</f>
        <v>725</v>
      </c>
      <c r="F501" s="1" t="s">
        <v>1259</v>
      </c>
      <c r="G501" s="1">
        <v>13.51</v>
      </c>
    </row>
    <row r="502" spans="1:11" x14ac:dyDescent="0.25">
      <c r="A502" s="1" t="s">
        <v>1246</v>
      </c>
      <c r="B502" s="1">
        <v>47</v>
      </c>
      <c r="C502" s="1">
        <v>707</v>
      </c>
      <c r="D502" s="1">
        <f t="shared" si="21"/>
        <v>754</v>
      </c>
      <c r="F502" s="1" t="s">
        <v>1260</v>
      </c>
      <c r="G502" s="1" t="s">
        <v>60</v>
      </c>
    </row>
    <row r="504" spans="1:11" x14ac:dyDescent="0.25">
      <c r="B504" s="1" t="s">
        <v>1406</v>
      </c>
      <c r="C504" s="1" t="s">
        <v>1407</v>
      </c>
      <c r="D504" s="1" t="s">
        <v>1246</v>
      </c>
      <c r="E504" s="4"/>
      <c r="F504" s="1" t="s">
        <v>1</v>
      </c>
      <c r="G504" s="1">
        <v>9.9700000000000006</v>
      </c>
      <c r="H504" s="1">
        <f>B505/C505*C506/B506</f>
        <v>9.9696969696969688</v>
      </c>
      <c r="I504" s="1">
        <f>SQRT(1/B505+1/C505+1/B506+1/C506)</f>
        <v>0.62704946282516394</v>
      </c>
      <c r="J504" s="1">
        <f>EXP(LN(H504)-1.96*I504)</f>
        <v>2.9169345178070496</v>
      </c>
      <c r="K504" s="1">
        <f>EXP(LN(H504)+1.96*I504)</f>
        <v>34.075107638106999</v>
      </c>
    </row>
    <row r="505" spans="1:11" x14ac:dyDescent="0.25">
      <c r="A505" s="1" t="s">
        <v>1249</v>
      </c>
      <c r="B505" s="1">
        <v>8</v>
      </c>
      <c r="C505" s="1">
        <v>4</v>
      </c>
      <c r="D505" s="1">
        <f>SUM(B505:C505)</f>
        <v>12</v>
      </c>
      <c r="F505" s="1" t="s">
        <v>1258</v>
      </c>
      <c r="G505" s="1">
        <v>2.92</v>
      </c>
    </row>
    <row r="506" spans="1:11" x14ac:dyDescent="0.25">
      <c r="A506" s="1" t="s">
        <v>1250</v>
      </c>
      <c r="B506" s="1">
        <f>B507-B505</f>
        <v>66</v>
      </c>
      <c r="C506" s="1">
        <f>C507-C505</f>
        <v>329</v>
      </c>
      <c r="D506" s="1">
        <f t="shared" ref="D506:D507" si="22">SUM(B506:C506)</f>
        <v>395</v>
      </c>
      <c r="F506" s="1" t="s">
        <v>1259</v>
      </c>
      <c r="G506" s="1">
        <v>34.08</v>
      </c>
    </row>
    <row r="507" spans="1:11" x14ac:dyDescent="0.25">
      <c r="A507" s="1" t="s">
        <v>1246</v>
      </c>
      <c r="B507" s="1">
        <v>74</v>
      </c>
      <c r="C507" s="1">
        <v>333</v>
      </c>
      <c r="D507" s="1">
        <f t="shared" si="22"/>
        <v>407</v>
      </c>
      <c r="F507" s="1" t="s">
        <v>1260</v>
      </c>
      <c r="G507" s="1" t="s">
        <v>60</v>
      </c>
    </row>
    <row r="509" spans="1:11" x14ac:dyDescent="0.25">
      <c r="B509" s="1" t="s">
        <v>1401</v>
      </c>
      <c r="C509" s="1" t="s">
        <v>1402</v>
      </c>
      <c r="D509" s="1" t="s">
        <v>1246</v>
      </c>
      <c r="F509" s="1" t="s">
        <v>1</v>
      </c>
      <c r="G509" s="1">
        <v>4.07</v>
      </c>
      <c r="H509" s="1">
        <f>B510/C510*C511/B511</f>
        <v>4.0673076923076925</v>
      </c>
      <c r="I509" s="1">
        <f>SQRT(1/B510+1/C510+1/B511+1/C511)</f>
        <v>0.65054846976315595</v>
      </c>
      <c r="J509" s="1">
        <f>EXP(LN(H509)-1.96*I509)</f>
        <v>1.1364464889966621</v>
      </c>
      <c r="K509" s="1">
        <f>EXP(LN(H509)+1.96*I509)</f>
        <v>14.556771501411108</v>
      </c>
    </row>
    <row r="510" spans="1:11" x14ac:dyDescent="0.25">
      <c r="A510" s="1" t="s">
        <v>1249</v>
      </c>
      <c r="B510" s="1">
        <v>3</v>
      </c>
      <c r="C510" s="1">
        <v>26</v>
      </c>
      <c r="D510" s="1">
        <f>SUM(B510:C510)</f>
        <v>29</v>
      </c>
      <c r="F510" s="1" t="s">
        <v>1258</v>
      </c>
      <c r="G510" s="1">
        <v>1.1399999999999999</v>
      </c>
    </row>
    <row r="511" spans="1:11" x14ac:dyDescent="0.25">
      <c r="A511" s="1" t="s">
        <v>1250</v>
      </c>
      <c r="B511" s="1">
        <f>B512-B510</f>
        <v>20</v>
      </c>
      <c r="C511" s="1">
        <f>C512-C510</f>
        <v>705</v>
      </c>
      <c r="D511" s="1">
        <f t="shared" ref="D511:D512" si="23">SUM(B511:C511)</f>
        <v>725</v>
      </c>
      <c r="F511" s="1" t="s">
        <v>1259</v>
      </c>
      <c r="G511" s="1">
        <v>14.56</v>
      </c>
    </row>
    <row r="512" spans="1:11" x14ac:dyDescent="0.25">
      <c r="A512" s="1" t="s">
        <v>1246</v>
      </c>
      <c r="B512" s="1">
        <v>23</v>
      </c>
      <c r="C512" s="1">
        <v>731</v>
      </c>
      <c r="D512" s="1">
        <f t="shared" si="23"/>
        <v>754</v>
      </c>
      <c r="F512" s="1" t="s">
        <v>1260</v>
      </c>
      <c r="G512" s="1">
        <v>3.1E-2</v>
      </c>
    </row>
    <row r="513" spans="1:7" x14ac:dyDescent="0.25">
      <c r="B513" s="1">
        <f>B512/D512</f>
        <v>3.0503978779840849E-2</v>
      </c>
    </row>
    <row r="515" spans="1:7" x14ac:dyDescent="0.25">
      <c r="A515" s="4" t="s">
        <v>1408</v>
      </c>
    </row>
    <row r="517" spans="1:7" x14ac:dyDescent="0.25">
      <c r="B517" s="1" t="s">
        <v>1409</v>
      </c>
      <c r="C517" s="1" t="s">
        <v>1410</v>
      </c>
      <c r="D517" s="1" t="s">
        <v>1246</v>
      </c>
      <c r="E517" s="4"/>
      <c r="F517" s="1" t="s">
        <v>1</v>
      </c>
      <c r="G517" s="1">
        <v>1.81</v>
      </c>
    </row>
    <row r="518" spans="1:7" x14ac:dyDescent="0.25">
      <c r="A518" s="1" t="s">
        <v>1249</v>
      </c>
      <c r="B518" s="1">
        <f>0.061*E522</f>
        <v>59.015838194826628</v>
      </c>
      <c r="C518" s="1">
        <f>E523*0.035</f>
        <v>22.173453494771604</v>
      </c>
      <c r="D518" s="1">
        <v>81</v>
      </c>
      <c r="F518" s="1" t="s">
        <v>1258</v>
      </c>
      <c r="G518" s="1">
        <v>1.1000000000000001</v>
      </c>
    </row>
    <row r="519" spans="1:7" x14ac:dyDescent="0.25">
      <c r="A519" s="1" t="s">
        <v>1250</v>
      </c>
      <c r="B519" s="1">
        <f>B520-B518</f>
        <v>907.98416180517336</v>
      </c>
      <c r="C519" s="1">
        <f>C520-C518</f>
        <v>611.82654650522841</v>
      </c>
      <c r="D519" s="1">
        <f>D520-D518</f>
        <v>1520</v>
      </c>
      <c r="F519" s="1" t="s">
        <v>1259</v>
      </c>
      <c r="G519" s="1">
        <v>2.98</v>
      </c>
    </row>
    <row r="520" spans="1:7" x14ac:dyDescent="0.25">
      <c r="A520" s="1" t="s">
        <v>1246</v>
      </c>
      <c r="B520" s="1">
        <v>967</v>
      </c>
      <c r="C520" s="1">
        <v>634</v>
      </c>
      <c r="D520" s="1">
        <v>1601</v>
      </c>
      <c r="F520" s="1" t="s">
        <v>1260</v>
      </c>
      <c r="G520" s="1">
        <v>0.02</v>
      </c>
    </row>
    <row r="522" spans="1:7" x14ac:dyDescent="0.25">
      <c r="B522" s="1" t="s">
        <v>1409</v>
      </c>
      <c r="C522" s="1">
        <v>1098</v>
      </c>
      <c r="D522" s="1">
        <f>C522/1817</f>
        <v>0.60429279031370386</v>
      </c>
      <c r="E522" s="1">
        <f>D522*1601</f>
        <v>967.47275729223986</v>
      </c>
    </row>
    <row r="523" spans="1:7" x14ac:dyDescent="0.25">
      <c r="B523" s="1" t="s">
        <v>1410</v>
      </c>
      <c r="C523" s="1">
        <v>719</v>
      </c>
      <c r="D523" s="1">
        <f>C523/1817</f>
        <v>0.39570720968629608</v>
      </c>
      <c r="E523" s="1">
        <f>D523*1601</f>
        <v>633.52724270776002</v>
      </c>
    </row>
    <row r="524" spans="1:7" x14ac:dyDescent="0.25">
      <c r="B524" s="1" t="s">
        <v>1246</v>
      </c>
      <c r="C524" s="1">
        <f>SUM(C522:C523)</f>
        <v>1817</v>
      </c>
    </row>
    <row r="526" spans="1:7" x14ac:dyDescent="0.25">
      <c r="A526" s="4" t="s">
        <v>471</v>
      </c>
    </row>
    <row r="528" spans="1:7" x14ac:dyDescent="0.25">
      <c r="B528" s="1" t="s">
        <v>1396</v>
      </c>
      <c r="C528" s="1" t="s">
        <v>1331</v>
      </c>
      <c r="D528" s="1" t="s">
        <v>1246</v>
      </c>
      <c r="E528" s="4"/>
      <c r="F528" s="1" t="s">
        <v>1</v>
      </c>
      <c r="G528" s="1">
        <v>2.19</v>
      </c>
    </row>
    <row r="529" spans="1:11" x14ac:dyDescent="0.25">
      <c r="A529" s="1" t="s">
        <v>1249</v>
      </c>
      <c r="B529" s="1">
        <v>18</v>
      </c>
      <c r="C529" s="1">
        <v>39</v>
      </c>
      <c r="D529" s="1">
        <f>SUM(B529:C529)</f>
        <v>57</v>
      </c>
      <c r="F529" s="1" t="s">
        <v>1258</v>
      </c>
      <c r="G529" s="1">
        <v>1.21</v>
      </c>
    </row>
    <row r="530" spans="1:11" x14ac:dyDescent="0.25">
      <c r="A530" s="1" t="s">
        <v>1250</v>
      </c>
      <c r="B530" s="1">
        <f>B531-B529</f>
        <v>124</v>
      </c>
      <c r="C530" s="1">
        <f>C531-C529</f>
        <v>588</v>
      </c>
      <c r="D530" s="1">
        <f t="shared" ref="D530:D532" si="24">SUM(B530:C530)</f>
        <v>712</v>
      </c>
      <c r="F530" s="1" t="s">
        <v>1259</v>
      </c>
      <c r="G530" s="1">
        <v>3.95</v>
      </c>
    </row>
    <row r="531" spans="1:11" x14ac:dyDescent="0.25">
      <c r="A531" s="1" t="s">
        <v>1246</v>
      </c>
      <c r="B531" s="1">
        <v>142</v>
      </c>
      <c r="C531" s="1">
        <v>627</v>
      </c>
      <c r="D531" s="1">
        <f t="shared" si="24"/>
        <v>769</v>
      </c>
      <c r="F531" s="1" t="s">
        <v>1260</v>
      </c>
      <c r="G531" s="1">
        <v>8.9999999999999993E-3</v>
      </c>
    </row>
    <row r="532" spans="1:11" x14ac:dyDescent="0.25">
      <c r="D532" s="1">
        <f t="shared" si="24"/>
        <v>0</v>
      </c>
    </row>
    <row r="533" spans="1:11" x14ac:dyDescent="0.25">
      <c r="A533" s="4" t="s">
        <v>1411</v>
      </c>
    </row>
    <row r="535" spans="1:11" x14ac:dyDescent="0.25">
      <c r="A535" s="1" t="s">
        <v>1412</v>
      </c>
      <c r="B535" s="1">
        <v>523</v>
      </c>
    </row>
    <row r="536" spans="1:11" x14ac:dyDescent="0.25">
      <c r="A536" s="1" t="s">
        <v>1266</v>
      </c>
      <c r="B536" s="1">
        <v>7.0000000000000007E-2</v>
      </c>
    </row>
    <row r="537" spans="1:11" x14ac:dyDescent="0.25">
      <c r="A537" s="1" t="s">
        <v>1413</v>
      </c>
      <c r="B537" s="6">
        <f>B536*B535</f>
        <v>36.610000000000007</v>
      </c>
    </row>
    <row r="539" spans="1:11" x14ac:dyDescent="0.25">
      <c r="A539" s="4" t="s">
        <v>1414</v>
      </c>
    </row>
    <row r="541" spans="1:11" x14ac:dyDescent="0.25">
      <c r="B541" s="1" t="s">
        <v>1415</v>
      </c>
      <c r="C541" s="1" t="s">
        <v>1379</v>
      </c>
      <c r="D541" s="1" t="s">
        <v>1268</v>
      </c>
      <c r="G541" s="1" t="s">
        <v>1416</v>
      </c>
      <c r="H541" s="1" t="s">
        <v>1417</v>
      </c>
      <c r="J541" s="1" t="s">
        <v>1</v>
      </c>
      <c r="K541" s="1">
        <v>2.42</v>
      </c>
    </row>
    <row r="542" spans="1:11" x14ac:dyDescent="0.25">
      <c r="A542" s="1" t="s">
        <v>1418</v>
      </c>
      <c r="B542" s="1" t="s">
        <v>1416</v>
      </c>
      <c r="C542" s="6">
        <f>D542*584</f>
        <v>213.744</v>
      </c>
      <c r="D542" s="1">
        <v>0.36599999999999999</v>
      </c>
      <c r="F542" s="1" t="s">
        <v>1419</v>
      </c>
      <c r="G542" s="1">
        <v>80</v>
      </c>
      <c r="H542" s="1">
        <v>165</v>
      </c>
      <c r="J542" s="1" t="s">
        <v>1258</v>
      </c>
      <c r="K542" s="1">
        <v>1.68</v>
      </c>
    </row>
    <row r="543" spans="1:11" x14ac:dyDescent="0.25">
      <c r="A543" s="1" t="s">
        <v>1420</v>
      </c>
      <c r="B543" s="1" t="s">
        <v>1421</v>
      </c>
      <c r="C543" s="6">
        <f t="shared" ref="C543:C544" si="25">D543*584</f>
        <v>279.15199999999999</v>
      </c>
      <c r="D543" s="1">
        <v>0.47799999999999998</v>
      </c>
      <c r="F543" s="1" t="s">
        <v>1333</v>
      </c>
      <c r="G543" s="1">
        <v>134</v>
      </c>
      <c r="H543" s="1">
        <v>114</v>
      </c>
      <c r="J543" s="1" t="s">
        <v>1259</v>
      </c>
      <c r="K543" s="1">
        <v>3.49</v>
      </c>
    </row>
    <row r="544" spans="1:11" x14ac:dyDescent="0.25">
      <c r="A544" s="1" t="s">
        <v>1422</v>
      </c>
      <c r="B544" s="1" t="s">
        <v>1423</v>
      </c>
      <c r="C544" s="6">
        <f t="shared" si="25"/>
        <v>91.688000000000002</v>
      </c>
      <c r="D544" s="1">
        <v>0.157</v>
      </c>
      <c r="J544" s="1" t="s">
        <v>1260</v>
      </c>
      <c r="K544" s="1" t="s">
        <v>60</v>
      </c>
    </row>
    <row r="545" spans="1:11" x14ac:dyDescent="0.25">
      <c r="A545" s="1" t="s">
        <v>1246</v>
      </c>
      <c r="C545" s="1">
        <v>584</v>
      </c>
      <c r="D545" s="1">
        <f>SUM(D542:D544)</f>
        <v>1.0009999999999999</v>
      </c>
    </row>
    <row r="546" spans="1:11" x14ac:dyDescent="0.25">
      <c r="G546" s="1" t="s">
        <v>1416</v>
      </c>
      <c r="H546" s="1" t="s">
        <v>1424</v>
      </c>
      <c r="J546" s="1" t="s">
        <v>1</v>
      </c>
      <c r="K546" s="1">
        <v>1.68</v>
      </c>
    </row>
    <row r="547" spans="1:11" x14ac:dyDescent="0.25">
      <c r="A547" s="1" t="s">
        <v>56</v>
      </c>
      <c r="B547" s="1" t="s">
        <v>1376</v>
      </c>
      <c r="C547" s="1" t="s">
        <v>1425</v>
      </c>
      <c r="D547" s="1" t="s">
        <v>1246</v>
      </c>
      <c r="F547" s="1" t="s">
        <v>1419</v>
      </c>
      <c r="G547" s="1">
        <v>80</v>
      </c>
      <c r="H547" s="1">
        <v>46</v>
      </c>
      <c r="J547" s="1" t="s">
        <v>1258</v>
      </c>
      <c r="K547" s="1">
        <v>1.02</v>
      </c>
    </row>
    <row r="548" spans="1:11" x14ac:dyDescent="0.25">
      <c r="A548" s="1" t="s">
        <v>1418</v>
      </c>
      <c r="B548" s="1">
        <v>80</v>
      </c>
      <c r="C548" s="1">
        <f>D548-B548</f>
        <v>134</v>
      </c>
      <c r="D548" s="1">
        <v>214</v>
      </c>
      <c r="F548" s="1" t="s">
        <v>1333</v>
      </c>
      <c r="G548" s="1">
        <v>134</v>
      </c>
      <c r="H548" s="1">
        <v>46</v>
      </c>
      <c r="J548" s="1" t="s">
        <v>1259</v>
      </c>
      <c r="K548" s="1">
        <v>2.74</v>
      </c>
    </row>
    <row r="549" spans="1:11" x14ac:dyDescent="0.25">
      <c r="A549" s="1" t="s">
        <v>1420</v>
      </c>
      <c r="B549" s="1">
        <v>165</v>
      </c>
      <c r="C549" s="1">
        <f t="shared" ref="C549:C550" si="26">D549-B549</f>
        <v>114</v>
      </c>
      <c r="D549" s="1">
        <v>279</v>
      </c>
      <c r="J549" s="1" t="s">
        <v>1260</v>
      </c>
      <c r="K549" s="1">
        <v>4.1000000000000002E-2</v>
      </c>
    </row>
    <row r="550" spans="1:11" x14ac:dyDescent="0.25">
      <c r="A550" s="1" t="s">
        <v>1422</v>
      </c>
      <c r="B550" s="1">
        <v>46</v>
      </c>
      <c r="C550" s="1">
        <f t="shared" si="26"/>
        <v>46</v>
      </c>
      <c r="D550" s="1">
        <v>92</v>
      </c>
    </row>
    <row r="551" spans="1:11" x14ac:dyDescent="0.25">
      <c r="A551" s="1" t="s">
        <v>1246</v>
      </c>
      <c r="B551" s="1">
        <v>292</v>
      </c>
      <c r="C551" s="1">
        <f>D551-B551</f>
        <v>293</v>
      </c>
      <c r="D551" s="1">
        <f>SUM(D548:D550)</f>
        <v>585</v>
      </c>
    </row>
    <row r="553" spans="1:11" x14ac:dyDescent="0.25">
      <c r="A553" s="4" t="s">
        <v>1426</v>
      </c>
    </row>
    <row r="555" spans="1:11" x14ac:dyDescent="0.25">
      <c r="B555" s="1" t="s">
        <v>1308</v>
      </c>
      <c r="C555" s="1" t="s">
        <v>762</v>
      </c>
      <c r="D555" s="1" t="s">
        <v>1246</v>
      </c>
      <c r="F555" s="1" t="s">
        <v>1</v>
      </c>
      <c r="G555" s="10">
        <v>1.0648</v>
      </c>
    </row>
    <row r="556" spans="1:11" x14ac:dyDescent="0.25">
      <c r="A556" s="1" t="s">
        <v>1249</v>
      </c>
      <c r="B556" s="6">
        <f>0.185*B558</f>
        <v>874.86500000000001</v>
      </c>
      <c r="C556" s="6">
        <f>0.195*C558</f>
        <v>264.42</v>
      </c>
      <c r="D556" s="6">
        <f>SUM(B556:C556)</f>
        <v>1139.2850000000001</v>
      </c>
      <c r="F556" s="1" t="s">
        <v>1258</v>
      </c>
      <c r="G556" s="10">
        <v>0.91359999999999997</v>
      </c>
    </row>
    <row r="557" spans="1:11" x14ac:dyDescent="0.25">
      <c r="A557" s="1" t="s">
        <v>1250</v>
      </c>
      <c r="B557" s="6">
        <f>4729-B556</f>
        <v>3854.1350000000002</v>
      </c>
      <c r="C557" s="6">
        <f>1356-C556</f>
        <v>1091.58</v>
      </c>
      <c r="D557" s="6">
        <f>SUM(B557:C557)</f>
        <v>4945.7150000000001</v>
      </c>
      <c r="F557" s="1" t="s">
        <v>1259</v>
      </c>
      <c r="G557" s="10">
        <v>1.2411000000000001</v>
      </c>
    </row>
    <row r="558" spans="1:11" x14ac:dyDescent="0.25">
      <c r="A558" s="1" t="s">
        <v>1246</v>
      </c>
      <c r="B558" s="1">
        <v>4729</v>
      </c>
      <c r="C558" s="1">
        <v>1356</v>
      </c>
      <c r="F558" s="1" t="s">
        <v>1260</v>
      </c>
      <c r="G558" s="1">
        <v>0.4214</v>
      </c>
    </row>
    <row r="560" spans="1:11" x14ac:dyDescent="0.25">
      <c r="A560" s="1">
        <f>727*0.081</f>
        <v>58.887</v>
      </c>
      <c r="B560" s="1">
        <f>0.061*365</f>
        <v>22.265000000000001</v>
      </c>
      <c r="C560" s="1">
        <f>SUM(A560:B560)</f>
        <v>81.152000000000001</v>
      </c>
    </row>
    <row r="561" spans="1:7" x14ac:dyDescent="0.25">
      <c r="C561" s="1">
        <f>C562-C560</f>
        <v>1010.848</v>
      </c>
    </row>
    <row r="562" spans="1:7" x14ac:dyDescent="0.25">
      <c r="C562" s="1">
        <f>365+727</f>
        <v>1092</v>
      </c>
    </row>
    <row r="563" spans="1:7" x14ac:dyDescent="0.25">
      <c r="C563" s="1">
        <f>C560/C562</f>
        <v>7.4315018315018314E-2</v>
      </c>
    </row>
    <row r="565" spans="1:7" x14ac:dyDescent="0.25">
      <c r="A565" s="4" t="s">
        <v>1435</v>
      </c>
    </row>
    <row r="567" spans="1:7" x14ac:dyDescent="0.25">
      <c r="B567" s="1" t="s">
        <v>1308</v>
      </c>
      <c r="C567" s="1" t="s">
        <v>762</v>
      </c>
      <c r="F567" s="1" t="s">
        <v>1</v>
      </c>
      <c r="G567" s="1">
        <v>1.0900000000000001</v>
      </c>
    </row>
    <row r="568" spans="1:7" x14ac:dyDescent="0.25">
      <c r="A568" s="1" t="s">
        <v>1249</v>
      </c>
      <c r="B568" s="6">
        <v>89</v>
      </c>
      <c r="C568" s="6">
        <v>133</v>
      </c>
      <c r="D568" s="1">
        <v>222</v>
      </c>
      <c r="F568" s="1" t="s">
        <v>1258</v>
      </c>
      <c r="G568" s="1">
        <v>0.67</v>
      </c>
    </row>
    <row r="569" spans="1:7" x14ac:dyDescent="0.25">
      <c r="A569" s="1" t="s">
        <v>1250</v>
      </c>
      <c r="B569" s="6">
        <f>B570-B568</f>
        <v>40.927007299270059</v>
      </c>
      <c r="C569" s="6">
        <f>C570-C568</f>
        <v>55.920454545454561</v>
      </c>
      <c r="D569" s="1">
        <f>D570-D568</f>
        <v>97</v>
      </c>
      <c r="F569" s="1" t="s">
        <v>1259</v>
      </c>
      <c r="G569" s="1">
        <v>1.78</v>
      </c>
    </row>
    <row r="570" spans="1:7" x14ac:dyDescent="0.25">
      <c r="B570" s="6">
        <f>89/0.685</f>
        <v>129.92700729927006</v>
      </c>
      <c r="C570" s="6">
        <f>133/0.704</f>
        <v>188.92045454545456</v>
      </c>
      <c r="D570" s="1">
        <v>319</v>
      </c>
      <c r="F570" s="1" t="s">
        <v>1260</v>
      </c>
      <c r="G570" s="1">
        <v>0.71599999999999997</v>
      </c>
    </row>
    <row r="572" spans="1:7" x14ac:dyDescent="0.25">
      <c r="A572" s="4" t="s">
        <v>1439</v>
      </c>
    </row>
    <row r="574" spans="1:7" x14ac:dyDescent="0.25">
      <c r="B574" s="1" t="s">
        <v>1308</v>
      </c>
      <c r="C574" s="1" t="s">
        <v>762</v>
      </c>
      <c r="E574" s="1" t="s">
        <v>1</v>
      </c>
      <c r="F574" s="1">
        <v>1.02</v>
      </c>
    </row>
    <row r="575" spans="1:7" x14ac:dyDescent="0.25">
      <c r="A575" s="1" t="s">
        <v>1419</v>
      </c>
      <c r="B575" s="6">
        <f>0.792*B577</f>
        <v>2766.4560000000001</v>
      </c>
      <c r="C575" s="6">
        <f>0.795*C577</f>
        <v>330.72</v>
      </c>
      <c r="E575" s="1" t="s">
        <v>1258</v>
      </c>
      <c r="F575" s="1">
        <v>0.8</v>
      </c>
    </row>
    <row r="576" spans="1:7" x14ac:dyDescent="0.25">
      <c r="A576" s="1" t="s">
        <v>1425</v>
      </c>
      <c r="B576" s="6">
        <f>B577-B575</f>
        <v>726.54399999999987</v>
      </c>
      <c r="C576" s="6">
        <f>C577-C575</f>
        <v>85.279999999999973</v>
      </c>
      <c r="E576" s="1" t="s">
        <v>1259</v>
      </c>
      <c r="F576" s="1">
        <v>1.32</v>
      </c>
    </row>
    <row r="577" spans="1:7" x14ac:dyDescent="0.25">
      <c r="B577" s="1">
        <v>3493</v>
      </c>
      <c r="C577" s="1">
        <v>416</v>
      </c>
      <c r="E577" s="1" t="s">
        <v>1260</v>
      </c>
      <c r="F577" s="1">
        <v>0.85699999999999998</v>
      </c>
    </row>
    <row r="579" spans="1:7" x14ac:dyDescent="0.25">
      <c r="A579" s="4" t="s">
        <v>1453</v>
      </c>
    </row>
    <row r="581" spans="1:7" x14ac:dyDescent="0.25">
      <c r="B581" s="1" t="s">
        <v>1331</v>
      </c>
      <c r="C581" s="1" t="s">
        <v>1396</v>
      </c>
      <c r="E581" s="1" t="s">
        <v>1</v>
      </c>
      <c r="F581" s="1">
        <v>1.73</v>
      </c>
    </row>
    <row r="582" spans="1:7" x14ac:dyDescent="0.25">
      <c r="A582" s="1" t="s">
        <v>1249</v>
      </c>
      <c r="B582" s="6">
        <v>7</v>
      </c>
      <c r="C582" s="6">
        <v>2</v>
      </c>
      <c r="E582" s="1" t="s">
        <v>1258</v>
      </c>
      <c r="F582" s="1">
        <v>0.34</v>
      </c>
    </row>
    <row r="583" spans="1:7" x14ac:dyDescent="0.25">
      <c r="A583" s="1" t="s">
        <v>1250</v>
      </c>
      <c r="B583" s="6">
        <f>B584-B582</f>
        <v>176</v>
      </c>
      <c r="C583" s="6">
        <f>C584-C582</f>
        <v>29</v>
      </c>
      <c r="E583" s="1" t="s">
        <v>1259</v>
      </c>
      <c r="F583" s="1">
        <v>8.76</v>
      </c>
    </row>
    <row r="584" spans="1:7" x14ac:dyDescent="0.25">
      <c r="B584" s="1">
        <v>183</v>
      </c>
      <c r="C584" s="1">
        <v>31</v>
      </c>
      <c r="E584" s="1" t="s">
        <v>1260</v>
      </c>
      <c r="F584" s="1">
        <v>0.505</v>
      </c>
    </row>
    <row r="586" spans="1:7" x14ac:dyDescent="0.25">
      <c r="A586" s="4" t="s">
        <v>1456</v>
      </c>
    </row>
    <row r="588" spans="1:7" x14ac:dyDescent="0.25">
      <c r="B588" s="1" t="s">
        <v>762</v>
      </c>
      <c r="C588" s="1" t="s">
        <v>1308</v>
      </c>
      <c r="F588" s="1" t="s">
        <v>1</v>
      </c>
      <c r="G588" s="1">
        <v>1.73</v>
      </c>
    </row>
    <row r="589" spans="1:7" x14ac:dyDescent="0.25">
      <c r="A589" s="1" t="s">
        <v>1455</v>
      </c>
      <c r="B589" s="6">
        <v>3</v>
      </c>
      <c r="C589" s="6">
        <f t="shared" ref="C589" si="27">D589-B589</f>
        <v>24</v>
      </c>
      <c r="D589" s="1">
        <v>27</v>
      </c>
      <c r="F589" s="1" t="s">
        <v>1258</v>
      </c>
      <c r="G589" s="1">
        <v>0.34</v>
      </c>
    </row>
    <row r="590" spans="1:7" x14ac:dyDescent="0.25">
      <c r="A590" s="1" t="s">
        <v>28</v>
      </c>
      <c r="B590" s="6">
        <v>7</v>
      </c>
      <c r="C590" s="6">
        <f>D590-B590</f>
        <v>40</v>
      </c>
      <c r="D590" s="1">
        <v>47</v>
      </c>
      <c r="F590" s="1" t="s">
        <v>1259</v>
      </c>
      <c r="G590" s="1">
        <v>8.76</v>
      </c>
    </row>
    <row r="591" spans="1:7" x14ac:dyDescent="0.25">
      <c r="B591" s="6">
        <f>SUM(B589:B590)</f>
        <v>10</v>
      </c>
      <c r="C591" s="6">
        <f>D591-B591</f>
        <v>64</v>
      </c>
      <c r="D591" s="1">
        <f>SUM(D589:D590)</f>
        <v>74</v>
      </c>
      <c r="F591" s="1" t="s">
        <v>1260</v>
      </c>
      <c r="G591" s="1">
        <v>0.505</v>
      </c>
    </row>
    <row r="593" spans="1:7" x14ac:dyDescent="0.25">
      <c r="A593" s="4" t="s">
        <v>1457</v>
      </c>
    </row>
    <row r="595" spans="1:7" x14ac:dyDescent="0.25">
      <c r="B595" s="1" t="s">
        <v>762</v>
      </c>
      <c r="C595" s="1" t="s">
        <v>1308</v>
      </c>
      <c r="F595" s="1" t="s">
        <v>1</v>
      </c>
      <c r="G595" s="1">
        <v>0.66</v>
      </c>
    </row>
    <row r="596" spans="1:7" x14ac:dyDescent="0.25">
      <c r="A596" s="1" t="s">
        <v>1455</v>
      </c>
      <c r="B596" s="6">
        <v>22</v>
      </c>
      <c r="C596" s="6">
        <f t="shared" ref="C596" si="28">D596-B596</f>
        <v>23</v>
      </c>
      <c r="D596" s="1">
        <v>45</v>
      </c>
      <c r="F596" s="1" t="s">
        <v>1258</v>
      </c>
      <c r="G596" s="1">
        <v>0.28000000000000003</v>
      </c>
    </row>
    <row r="597" spans="1:7" x14ac:dyDescent="0.25">
      <c r="A597" s="1" t="s">
        <v>28</v>
      </c>
      <c r="B597" s="6">
        <v>17</v>
      </c>
      <c r="C597" s="6">
        <f>D597-B597</f>
        <v>27</v>
      </c>
      <c r="D597" s="1">
        <v>44</v>
      </c>
      <c r="F597" s="1" t="s">
        <v>1259</v>
      </c>
      <c r="G597" s="1">
        <v>1.53</v>
      </c>
    </row>
    <row r="598" spans="1:7" x14ac:dyDescent="0.25">
      <c r="B598" s="6">
        <v>39</v>
      </c>
      <c r="C598" s="6">
        <f>D598-B598</f>
        <v>50</v>
      </c>
      <c r="D598" s="1">
        <v>89</v>
      </c>
      <c r="F598" s="1" t="s">
        <v>1260</v>
      </c>
      <c r="G598" s="1">
        <v>0.33100000000000002</v>
      </c>
    </row>
    <row r="600" spans="1:7" x14ac:dyDescent="0.25">
      <c r="B600" s="1" t="s">
        <v>1458</v>
      </c>
      <c r="C600" s="1" t="s">
        <v>1308</v>
      </c>
      <c r="F600" s="1" t="s">
        <v>1</v>
      </c>
      <c r="G600" s="1">
        <v>0.8</v>
      </c>
    </row>
    <row r="601" spans="1:7" x14ac:dyDescent="0.25">
      <c r="A601" s="1" t="s">
        <v>1455</v>
      </c>
      <c r="B601" s="6">
        <v>25</v>
      </c>
      <c r="C601" s="6">
        <f t="shared" ref="C601" si="29">D601-B601</f>
        <v>20</v>
      </c>
      <c r="D601" s="1">
        <v>45</v>
      </c>
      <c r="F601" s="1" t="s">
        <v>1258</v>
      </c>
      <c r="G601" s="1">
        <v>0.35</v>
      </c>
    </row>
    <row r="602" spans="1:7" x14ac:dyDescent="0.25">
      <c r="A602" s="1" t="s">
        <v>28</v>
      </c>
      <c r="B602" s="6">
        <v>22</v>
      </c>
      <c r="C602" s="6">
        <f>D602-B602</f>
        <v>22</v>
      </c>
      <c r="D602" s="1">
        <v>44</v>
      </c>
      <c r="F602" s="1" t="s">
        <v>1259</v>
      </c>
      <c r="G602" s="1">
        <v>1.84</v>
      </c>
    </row>
    <row r="603" spans="1:7" x14ac:dyDescent="0.25">
      <c r="B603" s="6">
        <v>47</v>
      </c>
      <c r="C603" s="6">
        <f>D603-B603</f>
        <v>42</v>
      </c>
      <c r="D603" s="1">
        <v>89</v>
      </c>
      <c r="F603" s="1" t="s">
        <v>1260</v>
      </c>
      <c r="G603" s="1">
        <v>0.6</v>
      </c>
    </row>
    <row r="605" spans="1:7" x14ac:dyDescent="0.25">
      <c r="A605" s="4" t="s">
        <v>1459</v>
      </c>
    </row>
    <row r="607" spans="1:7" x14ac:dyDescent="0.25">
      <c r="B607" s="1" t="s">
        <v>1331</v>
      </c>
      <c r="C607" s="1" t="s">
        <v>1396</v>
      </c>
      <c r="E607" s="1" t="s">
        <v>1</v>
      </c>
      <c r="F607" s="1">
        <v>1.26</v>
      </c>
    </row>
    <row r="608" spans="1:7" x14ac:dyDescent="0.25">
      <c r="A608" s="1" t="s">
        <v>1249</v>
      </c>
      <c r="B608" s="6">
        <v>212</v>
      </c>
      <c r="C608" s="6">
        <v>48</v>
      </c>
      <c r="E608" s="1" t="s">
        <v>1258</v>
      </c>
      <c r="F608" s="1">
        <v>0.91</v>
      </c>
    </row>
    <row r="609" spans="1:9" x14ac:dyDescent="0.25">
      <c r="A609" s="1" t="s">
        <v>1250</v>
      </c>
      <c r="B609" s="6">
        <v>4536</v>
      </c>
      <c r="C609" s="6">
        <v>817</v>
      </c>
      <c r="E609" s="1" t="s">
        <v>1259</v>
      </c>
      <c r="F609" s="1">
        <v>1.73</v>
      </c>
    </row>
    <row r="610" spans="1:9" x14ac:dyDescent="0.25">
      <c r="E610" s="1" t="s">
        <v>1260</v>
      </c>
      <c r="F610" s="1">
        <v>0.16400000000000001</v>
      </c>
    </row>
    <row r="611" spans="1:9" x14ac:dyDescent="0.25">
      <c r="A611" s="4" t="s">
        <v>597</v>
      </c>
    </row>
    <row r="613" spans="1:9" x14ac:dyDescent="0.25">
      <c r="B613" s="1" t="s">
        <v>604</v>
      </c>
      <c r="C613" s="1" t="s">
        <v>1462</v>
      </c>
      <c r="E613" s="1" t="s">
        <v>1</v>
      </c>
      <c r="F613" s="1">
        <v>1.81</v>
      </c>
    </row>
    <row r="614" spans="1:9" x14ac:dyDescent="0.25">
      <c r="A614" s="1" t="s">
        <v>1249</v>
      </c>
      <c r="B614" s="1">
        <v>13</v>
      </c>
      <c r="C614" s="1">
        <v>11</v>
      </c>
      <c r="E614" s="1" t="s">
        <v>1258</v>
      </c>
      <c r="F614" s="1">
        <v>0.8</v>
      </c>
    </row>
    <row r="615" spans="1:9" x14ac:dyDescent="0.25">
      <c r="A615" s="1" t="s">
        <v>1250</v>
      </c>
      <c r="B615" s="1">
        <v>587</v>
      </c>
      <c r="C615" s="1">
        <v>897</v>
      </c>
      <c r="E615" s="1" t="s">
        <v>1259</v>
      </c>
      <c r="F615" s="1">
        <v>4.0599999999999996</v>
      </c>
    </row>
    <row r="616" spans="1:9" x14ac:dyDescent="0.25">
      <c r="B616" s="1">
        <v>600</v>
      </c>
      <c r="C616" s="1">
        <v>908</v>
      </c>
      <c r="E616" s="1" t="s">
        <v>1260</v>
      </c>
      <c r="F616" s="1">
        <v>0.153</v>
      </c>
    </row>
    <row r="617" spans="1:9" x14ac:dyDescent="0.25">
      <c r="A617" s="4" t="s">
        <v>1464</v>
      </c>
    </row>
    <row r="619" spans="1:9" x14ac:dyDescent="0.25">
      <c r="B619" s="1" t="s">
        <v>1465</v>
      </c>
      <c r="C619" s="1" t="s">
        <v>1466</v>
      </c>
      <c r="E619" s="1" t="s">
        <v>654</v>
      </c>
      <c r="F619" s="10">
        <f>B620/C620</f>
        <v>1.4207792207792207</v>
      </c>
      <c r="H619" s="1" t="s">
        <v>1468</v>
      </c>
      <c r="I619" s="1">
        <f>(LN(B622)-LN(B621))/(2*1.96)</f>
        <v>0.66532560858597167</v>
      </c>
    </row>
    <row r="620" spans="1:9" x14ac:dyDescent="0.25">
      <c r="A620" s="1" t="s">
        <v>1467</v>
      </c>
      <c r="B620" s="1">
        <v>5.47</v>
      </c>
      <c r="C620" s="1">
        <v>3.85</v>
      </c>
      <c r="E620" s="1" t="s">
        <v>1258</v>
      </c>
      <c r="F620" s="10">
        <f>EXP(LN(F619)-1.96*I621)</f>
        <v>3.878616144207736E-2</v>
      </c>
      <c r="H620" s="1" t="s">
        <v>1469</v>
      </c>
      <c r="I620" s="1">
        <f>(LN(C622)-LN(C621))/(2*1.96)</f>
        <v>1.7124888267033342</v>
      </c>
    </row>
    <row r="621" spans="1:9" x14ac:dyDescent="0.25">
      <c r="A621" s="1" t="s">
        <v>1258</v>
      </c>
      <c r="B621" s="1">
        <v>0.96</v>
      </c>
      <c r="C621" s="1">
        <v>0.01</v>
      </c>
      <c r="E621" s="1" t="s">
        <v>1259</v>
      </c>
      <c r="F621" s="10">
        <f>EXP(LN(F619)+1.96*I621)</f>
        <v>52.044686020620404</v>
      </c>
      <c r="H621" s="1" t="s">
        <v>1470</v>
      </c>
      <c r="I621" s="1">
        <f>SQRT(I619^2+I620^2)</f>
        <v>1.8371924632503955</v>
      </c>
    </row>
    <row r="622" spans="1:9" x14ac:dyDescent="0.25">
      <c r="A622" s="1" t="s">
        <v>1259</v>
      </c>
      <c r="B622" s="1">
        <v>13.03</v>
      </c>
      <c r="C622" s="1">
        <v>8.23</v>
      </c>
    </row>
    <row r="624" spans="1:9" x14ac:dyDescent="0.25">
      <c r="A624" s="4" t="s">
        <v>1476</v>
      </c>
    </row>
    <row r="626" spans="1:7" x14ac:dyDescent="0.25">
      <c r="B626" s="1" t="s">
        <v>1396</v>
      </c>
      <c r="C626" s="1" t="s">
        <v>1331</v>
      </c>
      <c r="E626" s="1" t="s">
        <v>1</v>
      </c>
      <c r="F626" s="1">
        <v>1.1299999999999999</v>
      </c>
    </row>
    <row r="627" spans="1:7" x14ac:dyDescent="0.25">
      <c r="A627" s="1" t="s">
        <v>1249</v>
      </c>
      <c r="B627" s="1">
        <v>17</v>
      </c>
      <c r="C627" s="1">
        <v>59</v>
      </c>
      <c r="E627" s="1" t="s">
        <v>1258</v>
      </c>
      <c r="F627" s="1">
        <v>0.64</v>
      </c>
    </row>
    <row r="628" spans="1:7" x14ac:dyDescent="0.25">
      <c r="A628" s="1" t="s">
        <v>1250</v>
      </c>
      <c r="B628" s="1">
        <f>B629-B627</f>
        <v>141</v>
      </c>
      <c r="C628" s="1">
        <f>C629-C627</f>
        <v>553</v>
      </c>
      <c r="E628" s="1" t="s">
        <v>1259</v>
      </c>
      <c r="F628" s="1">
        <v>2</v>
      </c>
    </row>
    <row r="629" spans="1:7" x14ac:dyDescent="0.25">
      <c r="B629" s="1">
        <f>101+24+33</f>
        <v>158</v>
      </c>
      <c r="C629" s="1">
        <v>612</v>
      </c>
      <c r="E629" s="1" t="s">
        <v>1260</v>
      </c>
      <c r="F629" s="1">
        <v>0.67400000000000004</v>
      </c>
    </row>
    <row r="631" spans="1:7" x14ac:dyDescent="0.25">
      <c r="B631" s="1" t="s">
        <v>1247</v>
      </c>
      <c r="C631" s="1" t="s">
        <v>1248</v>
      </c>
      <c r="E631" s="1" t="s">
        <v>1</v>
      </c>
      <c r="F631" s="1">
        <v>1.03</v>
      </c>
    </row>
    <row r="632" spans="1:7" x14ac:dyDescent="0.25">
      <c r="A632" s="1" t="s">
        <v>1249</v>
      </c>
      <c r="B632" s="1">
        <v>25</v>
      </c>
      <c r="C632" s="1">
        <v>51</v>
      </c>
      <c r="E632" s="1" t="s">
        <v>1258</v>
      </c>
      <c r="F632" s="1">
        <v>0.62</v>
      </c>
    </row>
    <row r="633" spans="1:7" x14ac:dyDescent="0.25">
      <c r="A633" s="1" t="s">
        <v>1250</v>
      </c>
      <c r="B633" s="1">
        <f>B634-B632</f>
        <v>225</v>
      </c>
      <c r="C633" s="1">
        <f>C634-C632</f>
        <v>473</v>
      </c>
      <c r="E633" s="1" t="s">
        <v>1259</v>
      </c>
      <c r="F633" s="1">
        <v>1.71</v>
      </c>
    </row>
    <row r="634" spans="1:7" x14ac:dyDescent="0.25">
      <c r="B634" s="1">
        <f>124+53+73</f>
        <v>250</v>
      </c>
      <c r="C634" s="1">
        <v>524</v>
      </c>
      <c r="E634" s="1" t="s">
        <v>1260</v>
      </c>
      <c r="F634" s="1">
        <v>0.90700000000000003</v>
      </c>
    </row>
    <row r="635" spans="1:7" x14ac:dyDescent="0.25">
      <c r="A635" s="4" t="s">
        <v>1477</v>
      </c>
    </row>
    <row r="637" spans="1:7" x14ac:dyDescent="0.25">
      <c r="B637" s="1" t="s">
        <v>1393</v>
      </c>
      <c r="C637" s="1" t="s">
        <v>1335</v>
      </c>
      <c r="F637" s="1" t="s">
        <v>1</v>
      </c>
      <c r="G637" s="1" t="s">
        <v>1478</v>
      </c>
    </row>
    <row r="638" spans="1:7" x14ac:dyDescent="0.25">
      <c r="A638" s="1" t="s">
        <v>1309</v>
      </c>
      <c r="B638" s="1">
        <v>4</v>
      </c>
      <c r="C638" s="5">
        <f>D638-B638</f>
        <v>-1</v>
      </c>
      <c r="D638" s="1">
        <v>3</v>
      </c>
      <c r="F638" s="1" t="s">
        <v>1258</v>
      </c>
    </row>
    <row r="639" spans="1:7" x14ac:dyDescent="0.25">
      <c r="A639" s="1" t="s">
        <v>1310</v>
      </c>
      <c r="B639" s="1">
        <f>B640-B638</f>
        <v>3</v>
      </c>
      <c r="C639" s="1">
        <f>D639-B639</f>
        <v>6</v>
      </c>
      <c r="D639" s="1">
        <f>D640-D638</f>
        <v>9</v>
      </c>
      <c r="F639" s="1" t="s">
        <v>1259</v>
      </c>
    </row>
    <row r="640" spans="1:7" x14ac:dyDescent="0.25">
      <c r="B640" s="1">
        <v>7</v>
      </c>
      <c r="C640" s="1">
        <f>D640-B640</f>
        <v>5</v>
      </c>
      <c r="D640" s="1">
        <v>12</v>
      </c>
      <c r="F640" s="1" t="s">
        <v>1260</v>
      </c>
    </row>
    <row r="642" spans="1:7" x14ac:dyDescent="0.25">
      <c r="B642" s="1" t="s">
        <v>1396</v>
      </c>
      <c r="C642" s="1" t="s">
        <v>1331</v>
      </c>
      <c r="F642" s="1" t="s">
        <v>1</v>
      </c>
    </row>
    <row r="643" spans="1:7" x14ac:dyDescent="0.25">
      <c r="A643" s="1" t="s">
        <v>1309</v>
      </c>
      <c r="B643" s="1">
        <v>3</v>
      </c>
      <c r="C643" s="1">
        <f>D643-B643</f>
        <v>0</v>
      </c>
      <c r="D643" s="1">
        <v>3</v>
      </c>
      <c r="F643" s="1" t="s">
        <v>1258</v>
      </c>
    </row>
    <row r="644" spans="1:7" x14ac:dyDescent="0.25">
      <c r="A644" s="1" t="s">
        <v>1310</v>
      </c>
      <c r="B644" s="1">
        <f>B645-B643</f>
        <v>2</v>
      </c>
      <c r="C644" s="1">
        <f>D644-B644</f>
        <v>7</v>
      </c>
      <c r="D644" s="1">
        <f>D645-D643</f>
        <v>9</v>
      </c>
      <c r="F644" s="1" t="s">
        <v>1259</v>
      </c>
    </row>
    <row r="645" spans="1:7" x14ac:dyDescent="0.25">
      <c r="B645" s="1">
        <v>5</v>
      </c>
      <c r="C645" s="1">
        <f>D645-B645</f>
        <v>7</v>
      </c>
      <c r="D645" s="1">
        <v>12</v>
      </c>
      <c r="F645" s="1" t="s">
        <v>1260</v>
      </c>
    </row>
    <row r="647" spans="1:7" x14ac:dyDescent="0.25">
      <c r="B647" s="1" t="s">
        <v>1393</v>
      </c>
      <c r="C647" s="1" t="s">
        <v>1335</v>
      </c>
      <c r="F647" s="1" t="s">
        <v>1</v>
      </c>
      <c r="G647" s="1">
        <v>1.02</v>
      </c>
    </row>
    <row r="648" spans="1:7" x14ac:dyDescent="0.25">
      <c r="A648" s="1" t="s">
        <v>1376</v>
      </c>
      <c r="B648" s="1">
        <v>203</v>
      </c>
      <c r="C648" s="1">
        <f>D648-B648</f>
        <v>176</v>
      </c>
      <c r="D648" s="1">
        <v>379</v>
      </c>
      <c r="F648" s="1" t="s">
        <v>1258</v>
      </c>
      <c r="G648" s="1">
        <v>0.64</v>
      </c>
    </row>
    <row r="649" spans="1:7" x14ac:dyDescent="0.25">
      <c r="A649" s="1" t="s">
        <v>1425</v>
      </c>
      <c r="B649" s="1">
        <f>B650-B648</f>
        <v>44</v>
      </c>
      <c r="C649" s="1">
        <f>D649-B649</f>
        <v>39</v>
      </c>
      <c r="D649" s="1">
        <f>D650-D648</f>
        <v>83</v>
      </c>
      <c r="F649" s="1" t="s">
        <v>1259</v>
      </c>
      <c r="G649" s="1">
        <v>1.65</v>
      </c>
    </row>
    <row r="650" spans="1:7" x14ac:dyDescent="0.25">
      <c r="B650" s="1">
        <v>247</v>
      </c>
      <c r="C650" s="1">
        <f>D650-B650</f>
        <v>215</v>
      </c>
      <c r="D650" s="1">
        <v>462</v>
      </c>
      <c r="F650" s="1" t="s">
        <v>1260</v>
      </c>
      <c r="G650" s="1">
        <v>0.92800000000000005</v>
      </c>
    </row>
    <row r="652" spans="1:7" x14ac:dyDescent="0.25">
      <c r="B652" s="1" t="s">
        <v>1393</v>
      </c>
      <c r="C652" s="1" t="s">
        <v>1335</v>
      </c>
      <c r="F652" s="1" t="s">
        <v>1</v>
      </c>
      <c r="G652" s="1">
        <v>1.84</v>
      </c>
    </row>
    <row r="653" spans="1:7" x14ac:dyDescent="0.25">
      <c r="A653" s="1" t="s">
        <v>1249</v>
      </c>
      <c r="B653" s="1">
        <v>33</v>
      </c>
      <c r="C653" s="1">
        <f>D653-B653</f>
        <v>17</v>
      </c>
      <c r="D653" s="1">
        <v>50</v>
      </c>
      <c r="F653" s="1" t="s">
        <v>1258</v>
      </c>
      <c r="G653" s="1">
        <v>0.99</v>
      </c>
    </row>
    <row r="654" spans="1:7" x14ac:dyDescent="0.25">
      <c r="A654" s="1" t="s">
        <v>1250</v>
      </c>
      <c r="B654" s="1">
        <f>B655-B653</f>
        <v>207</v>
      </c>
      <c r="C654" s="1">
        <f>D654-B654</f>
        <v>196</v>
      </c>
      <c r="D654" s="1">
        <f>D655-D653</f>
        <v>403</v>
      </c>
      <c r="F654" s="1" t="s">
        <v>1259</v>
      </c>
      <c r="G654" s="1">
        <v>3.41</v>
      </c>
    </row>
    <row r="655" spans="1:7" x14ac:dyDescent="0.25">
      <c r="B655" s="1">
        <v>240</v>
      </c>
      <c r="C655" s="1">
        <f>D655-B655</f>
        <v>213</v>
      </c>
      <c r="D655" s="1">
        <v>453</v>
      </c>
      <c r="F655" s="1" t="s">
        <v>1260</v>
      </c>
      <c r="G655" s="1">
        <v>5.2999999999999999E-2</v>
      </c>
    </row>
    <row r="657" spans="1:6" x14ac:dyDescent="0.25">
      <c r="A657" s="4" t="s">
        <v>1479</v>
      </c>
    </row>
    <row r="659" spans="1:6" x14ac:dyDescent="0.25">
      <c r="A659" s="1" t="s">
        <v>1480</v>
      </c>
      <c r="B659" s="1" t="s">
        <v>1485</v>
      </c>
    </row>
    <row r="660" spans="1:6" x14ac:dyDescent="0.25">
      <c r="B660" s="1" t="s">
        <v>1483</v>
      </c>
      <c r="C660" s="1" t="s">
        <v>1308</v>
      </c>
      <c r="E660" s="1" t="s">
        <v>1</v>
      </c>
      <c r="F660" s="1">
        <v>2.66</v>
      </c>
    </row>
    <row r="661" spans="1:6" x14ac:dyDescent="0.25">
      <c r="A661" s="1" t="s">
        <v>1481</v>
      </c>
      <c r="B661" s="1">
        <v>22</v>
      </c>
      <c r="C661" s="1">
        <v>16</v>
      </c>
      <c r="E661" s="1" t="s">
        <v>1258</v>
      </c>
      <c r="F661" s="1">
        <v>1.08</v>
      </c>
    </row>
    <row r="662" spans="1:6" x14ac:dyDescent="0.25">
      <c r="A662" s="1" t="s">
        <v>1482</v>
      </c>
      <c r="B662" s="1">
        <v>15</v>
      </c>
      <c r="C662" s="1">
        <v>29</v>
      </c>
      <c r="E662" s="1" t="s">
        <v>1259</v>
      </c>
      <c r="F662" s="1">
        <v>6.51</v>
      </c>
    </row>
    <row r="663" spans="1:6" x14ac:dyDescent="0.25">
      <c r="E663" s="1" t="s">
        <v>1260</v>
      </c>
      <c r="F663" s="1">
        <v>3.3000000000000002E-2</v>
      </c>
    </row>
    <row r="665" spans="1:6" x14ac:dyDescent="0.25">
      <c r="B665" s="1" t="s">
        <v>1484</v>
      </c>
      <c r="C665" s="1" t="s">
        <v>1308</v>
      </c>
      <c r="E665" s="1" t="s">
        <v>1</v>
      </c>
      <c r="F665" s="1">
        <v>0.91</v>
      </c>
    </row>
    <row r="666" spans="1:6" x14ac:dyDescent="0.25">
      <c r="A666" s="1" t="s">
        <v>1481</v>
      </c>
      <c r="B666" s="1">
        <v>6</v>
      </c>
      <c r="C666" s="1">
        <v>16</v>
      </c>
      <c r="E666" s="1" t="s">
        <v>1258</v>
      </c>
      <c r="F666" s="1">
        <v>0.28999999999999998</v>
      </c>
    </row>
    <row r="667" spans="1:6" x14ac:dyDescent="0.25">
      <c r="A667" s="1" t="s">
        <v>1482</v>
      </c>
      <c r="B667" s="1">
        <v>12</v>
      </c>
      <c r="C667" s="1">
        <v>29</v>
      </c>
      <c r="E667" s="1" t="s">
        <v>1259</v>
      </c>
      <c r="F667" s="1">
        <v>2.88</v>
      </c>
    </row>
    <row r="668" spans="1:6" x14ac:dyDescent="0.25">
      <c r="E668" s="1" t="s">
        <v>1260</v>
      </c>
      <c r="F668" s="1">
        <v>0.86699999999999999</v>
      </c>
    </row>
    <row r="670" spans="1:6" x14ac:dyDescent="0.25">
      <c r="B670" s="1" t="s">
        <v>256</v>
      </c>
      <c r="C670" s="1" t="s">
        <v>1308</v>
      </c>
      <c r="E670" s="1" t="s">
        <v>1</v>
      </c>
      <c r="F670" s="1">
        <v>1.88</v>
      </c>
    </row>
    <row r="671" spans="1:6" x14ac:dyDescent="0.25">
      <c r="A671" s="1" t="s">
        <v>1481</v>
      </c>
      <c r="B671" s="1">
        <f>SUM(B666,B661)</f>
        <v>28</v>
      </c>
      <c r="C671" s="1">
        <v>16</v>
      </c>
      <c r="E671" s="1" t="s">
        <v>1258</v>
      </c>
      <c r="F671" s="1">
        <v>0.84</v>
      </c>
    </row>
    <row r="672" spans="1:6" x14ac:dyDescent="0.25">
      <c r="A672" s="1" t="s">
        <v>1482</v>
      </c>
      <c r="B672" s="1">
        <f>SUM(B667,B662)</f>
        <v>27</v>
      </c>
      <c r="C672" s="1">
        <v>29</v>
      </c>
      <c r="E672" s="1" t="s">
        <v>1259</v>
      </c>
      <c r="F672" s="1">
        <v>4.21</v>
      </c>
    </row>
    <row r="673" spans="1:6" x14ac:dyDescent="0.25">
      <c r="E673" s="1" t="s">
        <v>1260</v>
      </c>
      <c r="F673" s="1">
        <v>0.126</v>
      </c>
    </row>
    <row r="674" spans="1:6" x14ac:dyDescent="0.25">
      <c r="A674" s="1" t="s">
        <v>1480</v>
      </c>
      <c r="B674" s="1" t="s">
        <v>1485</v>
      </c>
    </row>
    <row r="675" spans="1:6" x14ac:dyDescent="0.25">
      <c r="B675" s="1" t="s">
        <v>1483</v>
      </c>
      <c r="C675" s="1" t="s">
        <v>1308</v>
      </c>
      <c r="E675" s="1" t="s">
        <v>1</v>
      </c>
      <c r="F675" s="1">
        <v>0.81</v>
      </c>
    </row>
    <row r="676" spans="1:6" x14ac:dyDescent="0.25">
      <c r="A676" s="1" t="s">
        <v>1311</v>
      </c>
      <c r="B676" s="1">
        <v>22</v>
      </c>
      <c r="C676" s="1">
        <v>29</v>
      </c>
      <c r="E676" s="1" t="s">
        <v>1258</v>
      </c>
      <c r="F676" s="1">
        <v>0.33</v>
      </c>
    </row>
    <row r="677" spans="1:6" x14ac:dyDescent="0.25">
      <c r="A677" s="1" t="s">
        <v>1312</v>
      </c>
      <c r="B677" s="1">
        <v>15</v>
      </c>
      <c r="C677" s="1">
        <v>16</v>
      </c>
      <c r="E677" s="1" t="s">
        <v>1259</v>
      </c>
      <c r="F677" s="1">
        <v>1.98</v>
      </c>
    </row>
    <row r="678" spans="1:6" x14ac:dyDescent="0.25">
      <c r="E678" s="1" t="s">
        <v>1260</v>
      </c>
      <c r="F678" s="1">
        <v>0.64300000000000002</v>
      </c>
    </row>
    <row r="680" spans="1:6" x14ac:dyDescent="0.25">
      <c r="B680" s="1" t="s">
        <v>1484</v>
      </c>
      <c r="C680" s="1" t="s">
        <v>1308</v>
      </c>
      <c r="E680" s="1" t="s">
        <v>1</v>
      </c>
      <c r="F680" s="1">
        <v>1.43</v>
      </c>
    </row>
    <row r="681" spans="1:6" x14ac:dyDescent="0.25">
      <c r="A681" s="1" t="s">
        <v>1311</v>
      </c>
      <c r="B681" s="1">
        <v>13</v>
      </c>
      <c r="C681" s="1">
        <v>29</v>
      </c>
      <c r="E681" s="1" t="s">
        <v>1258</v>
      </c>
      <c r="F681" s="1">
        <v>0.43</v>
      </c>
    </row>
    <row r="682" spans="1:6" x14ac:dyDescent="0.25">
      <c r="A682" s="1" t="s">
        <v>1312</v>
      </c>
      <c r="B682" s="1">
        <v>5</v>
      </c>
      <c r="C682" s="1">
        <v>16</v>
      </c>
      <c r="E682" s="1" t="s">
        <v>1259</v>
      </c>
      <c r="F682" s="1">
        <v>4.76</v>
      </c>
    </row>
    <row r="683" spans="1:6" x14ac:dyDescent="0.25">
      <c r="E683" s="1" t="s">
        <v>1260</v>
      </c>
      <c r="F683" s="1">
        <v>0.55500000000000005</v>
      </c>
    </row>
    <row r="685" spans="1:6" x14ac:dyDescent="0.25">
      <c r="B685" s="1" t="s">
        <v>1483</v>
      </c>
      <c r="C685" s="1" t="s">
        <v>1308</v>
      </c>
      <c r="E685" s="1" t="s">
        <v>1</v>
      </c>
      <c r="F685" s="1">
        <v>1.18</v>
      </c>
    </row>
    <row r="686" spans="1:6" x14ac:dyDescent="0.25">
      <c r="A686" s="1" t="s">
        <v>1488</v>
      </c>
      <c r="B686" s="1">
        <v>32</v>
      </c>
      <c r="C686" s="1">
        <v>38</v>
      </c>
      <c r="E686" s="1" t="s">
        <v>1258</v>
      </c>
      <c r="F686" s="1">
        <v>0.34</v>
      </c>
    </row>
    <row r="687" spans="1:6" x14ac:dyDescent="0.25">
      <c r="A687" s="1" t="s">
        <v>1487</v>
      </c>
      <c r="B687" s="1">
        <v>5</v>
      </c>
      <c r="C687" s="1">
        <v>7</v>
      </c>
      <c r="E687" s="1" t="s">
        <v>1259</v>
      </c>
      <c r="F687" s="1">
        <v>4.08</v>
      </c>
    </row>
    <row r="688" spans="1:6" x14ac:dyDescent="0.25">
      <c r="E688" s="1" t="s">
        <v>1260</v>
      </c>
      <c r="F688" s="1">
        <v>0.79500000000000004</v>
      </c>
    </row>
    <row r="690" spans="1:6" x14ac:dyDescent="0.25">
      <c r="B690" s="1" t="s">
        <v>1484</v>
      </c>
      <c r="C690" s="1" t="s">
        <v>1308</v>
      </c>
      <c r="E690" s="1" t="s">
        <v>1</v>
      </c>
      <c r="F690" s="1">
        <v>3.13</v>
      </c>
    </row>
    <row r="691" spans="1:6" x14ac:dyDescent="0.25">
      <c r="A691" s="1" t="s">
        <v>1488</v>
      </c>
      <c r="B691" s="1">
        <v>17</v>
      </c>
      <c r="C691" s="1">
        <v>38</v>
      </c>
      <c r="E691" s="1" t="s">
        <v>1258</v>
      </c>
      <c r="F691" s="1">
        <v>0.36</v>
      </c>
    </row>
    <row r="692" spans="1:6" x14ac:dyDescent="0.25">
      <c r="A692" s="1" t="s">
        <v>1487</v>
      </c>
      <c r="B692" s="1">
        <v>1</v>
      </c>
      <c r="C692" s="1">
        <v>7</v>
      </c>
      <c r="E692" s="1" t="s">
        <v>1259</v>
      </c>
      <c r="F692" s="1">
        <v>26.48</v>
      </c>
    </row>
    <row r="693" spans="1:6" x14ac:dyDescent="0.25">
      <c r="E693" s="1" t="s">
        <v>1260</v>
      </c>
    </row>
    <row r="695" spans="1:6" x14ac:dyDescent="0.25">
      <c r="B695" s="1" t="s">
        <v>1483</v>
      </c>
      <c r="C695" s="1" t="s">
        <v>1308</v>
      </c>
      <c r="E695" s="1" t="s">
        <v>1</v>
      </c>
      <c r="F695" s="1">
        <v>2.06</v>
      </c>
    </row>
    <row r="696" spans="1:6" x14ac:dyDescent="0.25">
      <c r="A696" s="1" t="s">
        <v>1486</v>
      </c>
      <c r="B696" s="1">
        <v>33</v>
      </c>
      <c r="C696" s="1">
        <v>36</v>
      </c>
      <c r="E696" s="1" t="s">
        <v>1258</v>
      </c>
      <c r="F696" s="1">
        <v>0.57999999999999996</v>
      </c>
    </row>
    <row r="697" spans="1:6" x14ac:dyDescent="0.25">
      <c r="A697" s="1" t="s">
        <v>1310</v>
      </c>
      <c r="B697" s="1">
        <v>4</v>
      </c>
      <c r="C697" s="1">
        <v>9</v>
      </c>
      <c r="E697" s="1" t="s">
        <v>1259</v>
      </c>
      <c r="F697" s="1">
        <v>7.33</v>
      </c>
    </row>
    <row r="698" spans="1:6" x14ac:dyDescent="0.25">
      <c r="E698" s="1" t="s">
        <v>1260</v>
      </c>
      <c r="F698" s="1">
        <v>0.26400000000000001</v>
      </c>
    </row>
    <row r="701" spans="1:6" x14ac:dyDescent="0.25">
      <c r="B701" s="1" t="s">
        <v>1484</v>
      </c>
      <c r="C701" s="1" t="s">
        <v>1308</v>
      </c>
      <c r="E701" s="1" t="s">
        <v>1</v>
      </c>
      <c r="F701" s="1">
        <v>1.25</v>
      </c>
    </row>
    <row r="702" spans="1:6" x14ac:dyDescent="0.25">
      <c r="A702" s="1" t="s">
        <v>30</v>
      </c>
      <c r="B702" s="1">
        <v>15</v>
      </c>
      <c r="C702" s="1">
        <v>36</v>
      </c>
      <c r="E702" s="1" t="s">
        <v>1258</v>
      </c>
      <c r="F702" s="1">
        <v>0.3</v>
      </c>
    </row>
    <row r="703" spans="1:6" x14ac:dyDescent="0.25">
      <c r="A703" s="1" t="s">
        <v>1310</v>
      </c>
      <c r="B703" s="1">
        <v>3</v>
      </c>
      <c r="C703" s="1">
        <v>9</v>
      </c>
      <c r="E703" s="1" t="s">
        <v>1259</v>
      </c>
      <c r="F703" s="1">
        <v>5.27</v>
      </c>
    </row>
    <row r="704" spans="1:6" x14ac:dyDescent="0.25">
      <c r="E704" s="1" t="s">
        <v>1260</v>
      </c>
      <c r="F704" s="1">
        <v>0.76100000000000001</v>
      </c>
    </row>
    <row r="706" spans="1:8" x14ac:dyDescent="0.25">
      <c r="A706" s="4" t="s">
        <v>1495</v>
      </c>
    </row>
    <row r="708" spans="1:8" x14ac:dyDescent="0.25">
      <c r="A708" s="1" t="s">
        <v>1496</v>
      </c>
      <c r="B708" s="1" t="s">
        <v>1267</v>
      </c>
      <c r="C708" s="1" t="s">
        <v>1268</v>
      </c>
      <c r="D708" s="1" t="s">
        <v>1266</v>
      </c>
    </row>
    <row r="709" spans="1:8" x14ac:dyDescent="0.25">
      <c r="A709" s="1">
        <v>0</v>
      </c>
      <c r="B709" s="1">
        <v>263</v>
      </c>
      <c r="C709" s="1">
        <f>B709/870</f>
        <v>0.30229885057471262</v>
      </c>
      <c r="D709" s="15">
        <v>4.0000000000000001E-3</v>
      </c>
      <c r="E709" s="10">
        <f>D709*B709</f>
        <v>1.052</v>
      </c>
      <c r="G709" s="1" t="s">
        <v>1308</v>
      </c>
      <c r="H709" s="1">
        <f>1</f>
        <v>1</v>
      </c>
    </row>
    <row r="710" spans="1:8" x14ac:dyDescent="0.25">
      <c r="A710" s="1">
        <v>1</v>
      </c>
      <c r="B710" s="1">
        <v>277</v>
      </c>
      <c r="C710" s="1">
        <f t="shared" ref="C710:C714" si="30">B710/870</f>
        <v>0.31839080459770114</v>
      </c>
      <c r="D710" s="15">
        <v>1.4E-2</v>
      </c>
      <c r="E710" s="10">
        <f t="shared" ref="E710:E713" si="31">D710*B710</f>
        <v>3.8780000000000001</v>
      </c>
      <c r="G710" s="1" t="s">
        <v>762</v>
      </c>
      <c r="H710" s="1">
        <f>4+4+2+3</f>
        <v>13</v>
      </c>
    </row>
    <row r="711" spans="1:8" x14ac:dyDescent="0.25">
      <c r="A711" s="1">
        <v>2</v>
      </c>
      <c r="B711" s="1">
        <v>179</v>
      </c>
      <c r="C711" s="1">
        <f t="shared" si="30"/>
        <v>0.20574712643678161</v>
      </c>
      <c r="D711" s="15">
        <v>2.1999999999999999E-2</v>
      </c>
      <c r="E711" s="10">
        <f t="shared" si="31"/>
        <v>3.9379999999999997</v>
      </c>
    </row>
    <row r="712" spans="1:8" x14ac:dyDescent="0.25">
      <c r="A712" s="1">
        <v>3</v>
      </c>
      <c r="B712" s="1">
        <v>95</v>
      </c>
      <c r="C712" s="1">
        <f t="shared" si="30"/>
        <v>0.10919540229885058</v>
      </c>
      <c r="D712" s="15">
        <v>2.1000000000000001E-2</v>
      </c>
      <c r="E712" s="10">
        <f t="shared" si="31"/>
        <v>1.9950000000000001</v>
      </c>
    </row>
    <row r="713" spans="1:8" x14ac:dyDescent="0.25">
      <c r="A713" s="1">
        <v>4</v>
      </c>
      <c r="B713" s="1">
        <v>56</v>
      </c>
      <c r="C713" s="1">
        <f t="shared" si="30"/>
        <v>6.4367816091954022E-2</v>
      </c>
      <c r="D713" s="15">
        <v>5.3999999999999999E-2</v>
      </c>
      <c r="E713" s="10">
        <f t="shared" si="31"/>
        <v>3.024</v>
      </c>
    </row>
    <row r="714" spans="1:8" x14ac:dyDescent="0.25">
      <c r="B714" s="1">
        <f>SUM(B709:B713)</f>
        <v>870</v>
      </c>
      <c r="C714" s="1">
        <f t="shared" si="30"/>
        <v>1</v>
      </c>
      <c r="E714" s="10">
        <f>SUM(E710:E713)</f>
        <v>12.835000000000001</v>
      </c>
    </row>
    <row r="715" spans="1:8" x14ac:dyDescent="0.25">
      <c r="B715" s="6"/>
    </row>
    <row r="718" spans="1:8" x14ac:dyDescent="0.25">
      <c r="B718" s="1" t="s">
        <v>762</v>
      </c>
      <c r="C718" s="1" t="s">
        <v>1308</v>
      </c>
      <c r="E718" s="1" t="s">
        <v>1</v>
      </c>
      <c r="F718" s="1">
        <v>5.73</v>
      </c>
    </row>
    <row r="719" spans="1:8" x14ac:dyDescent="0.25">
      <c r="A719" s="1" t="s">
        <v>1249</v>
      </c>
      <c r="B719" s="1">
        <v>13</v>
      </c>
      <c r="C719" s="1">
        <v>1</v>
      </c>
      <c r="D719" s="1">
        <f>SUM(B719:C719)</f>
        <v>14</v>
      </c>
      <c r="E719" s="1" t="s">
        <v>1258</v>
      </c>
      <c r="F719" s="1">
        <v>0.75</v>
      </c>
    </row>
    <row r="720" spans="1:8" x14ac:dyDescent="0.25">
      <c r="A720" s="1" t="s">
        <v>1250</v>
      </c>
      <c r="B720" s="1">
        <f>(277+179+95+56)-13</f>
        <v>594</v>
      </c>
      <c r="C720" s="1">
        <v>262</v>
      </c>
      <c r="E720" s="1" t="s">
        <v>1259</v>
      </c>
      <c r="F720" s="1">
        <v>44.06</v>
      </c>
    </row>
    <row r="721" spans="1:6" x14ac:dyDescent="0.25">
      <c r="B721" s="1">
        <f>SUM(B719:B720)</f>
        <v>607</v>
      </c>
      <c r="C721" s="1">
        <f>B721/D721</f>
        <v>0.69770114942528738</v>
      </c>
      <c r="D721" s="1">
        <f>SUM(B719:C720)</f>
        <v>870</v>
      </c>
      <c r="E721" s="1" t="s">
        <v>1260</v>
      </c>
      <c r="F721" s="1">
        <v>9.2999999999999999E-2</v>
      </c>
    </row>
    <row r="723" spans="1:6" x14ac:dyDescent="0.25">
      <c r="A723" s="4" t="s">
        <v>1497</v>
      </c>
    </row>
    <row r="725" spans="1:6" x14ac:dyDescent="0.25">
      <c r="B725" s="1" t="s">
        <v>762</v>
      </c>
      <c r="C725" s="1" t="s">
        <v>1308</v>
      </c>
      <c r="E725" s="1" t="s">
        <v>1</v>
      </c>
      <c r="F725" s="1">
        <v>1.72</v>
      </c>
    </row>
    <row r="726" spans="1:6" x14ac:dyDescent="0.25">
      <c r="A726" s="1" t="s">
        <v>1249</v>
      </c>
      <c r="B726" s="6">
        <f>0.256*B728</f>
        <v>90.111999999999995</v>
      </c>
      <c r="C726" s="6">
        <f>0.166*C728</f>
        <v>280.54000000000002</v>
      </c>
      <c r="E726" s="1" t="s">
        <v>1258</v>
      </c>
      <c r="F726" s="1">
        <v>1.31</v>
      </c>
    </row>
    <row r="727" spans="1:6" x14ac:dyDescent="0.25">
      <c r="A727" s="1" t="s">
        <v>1250</v>
      </c>
      <c r="B727" s="6">
        <f>B728-B726</f>
        <v>261.88800000000003</v>
      </c>
      <c r="C727" s="6">
        <f>C728-C726</f>
        <v>1409.46</v>
      </c>
      <c r="E727" s="1" t="s">
        <v>1259</v>
      </c>
      <c r="F727" s="1">
        <v>2.2599999999999998</v>
      </c>
    </row>
    <row r="728" spans="1:6" x14ac:dyDescent="0.25">
      <c r="B728" s="1">
        <v>352</v>
      </c>
      <c r="C728" s="1">
        <v>1690</v>
      </c>
      <c r="E728" s="1" t="s">
        <v>1260</v>
      </c>
      <c r="F728" s="1" t="s">
        <v>60</v>
      </c>
    </row>
    <row r="730" spans="1:6" x14ac:dyDescent="0.25">
      <c r="A730" s="4" t="s">
        <v>1097</v>
      </c>
    </row>
    <row r="732" spans="1:6" x14ac:dyDescent="0.25">
      <c r="B732" s="1" t="s">
        <v>1103</v>
      </c>
      <c r="C732" s="1" t="s">
        <v>1498</v>
      </c>
      <c r="E732" s="1" t="s">
        <v>1</v>
      </c>
      <c r="F732" s="1">
        <v>0.91</v>
      </c>
    </row>
    <row r="733" spans="1:6" x14ac:dyDescent="0.25">
      <c r="A733" s="1" t="s">
        <v>1249</v>
      </c>
      <c r="B733" s="1">
        <v>109</v>
      </c>
      <c r="C733" s="1">
        <v>168</v>
      </c>
      <c r="E733" s="1" t="s">
        <v>1258</v>
      </c>
      <c r="F733" s="1">
        <v>0.63</v>
      </c>
    </row>
    <row r="734" spans="1:6" x14ac:dyDescent="0.25">
      <c r="A734" s="1" t="s">
        <v>1250</v>
      </c>
      <c r="B734" s="1">
        <f>B735-B733</f>
        <v>84</v>
      </c>
      <c r="C734" s="1">
        <f>C735-C733</f>
        <v>118</v>
      </c>
      <c r="E734" s="1" t="s">
        <v>1259</v>
      </c>
      <c r="F734" s="1">
        <v>1.32</v>
      </c>
    </row>
    <row r="735" spans="1:6" x14ac:dyDescent="0.25">
      <c r="B735" s="1">
        <v>193</v>
      </c>
      <c r="C735" s="1">
        <v>286</v>
      </c>
      <c r="E735" s="1" t="s">
        <v>1260</v>
      </c>
      <c r="F735" s="1">
        <v>0.623</v>
      </c>
    </row>
    <row r="737" spans="1:6" x14ac:dyDescent="0.25">
      <c r="A737" s="4" t="s">
        <v>1504</v>
      </c>
      <c r="B737" s="1" t="s">
        <v>1506</v>
      </c>
    </row>
    <row r="739" spans="1:6" x14ac:dyDescent="0.25">
      <c r="B739" s="1" t="s">
        <v>1308</v>
      </c>
      <c r="C739" s="1" t="s">
        <v>256</v>
      </c>
    </row>
    <row r="740" spans="1:6" x14ac:dyDescent="0.25">
      <c r="A740" s="1" t="s">
        <v>1294</v>
      </c>
      <c r="B740" s="1">
        <v>13</v>
      </c>
      <c r="C740" s="1">
        <f>38-13</f>
        <v>25</v>
      </c>
    </row>
    <row r="741" spans="1:6" x14ac:dyDescent="0.25">
      <c r="A741" s="1" t="s">
        <v>1250</v>
      </c>
      <c r="B741" s="1">
        <f>140-13</f>
        <v>127</v>
      </c>
      <c r="C741" s="1">
        <f>362-127</f>
        <v>235</v>
      </c>
    </row>
    <row r="743" spans="1:6" x14ac:dyDescent="0.25">
      <c r="B743" s="1" t="s">
        <v>1505</v>
      </c>
      <c r="C743" s="1" t="s">
        <v>1266</v>
      </c>
      <c r="D743" s="1" t="s">
        <v>1249</v>
      </c>
      <c r="E743" s="1" t="s">
        <v>1250</v>
      </c>
    </row>
    <row r="744" spans="1:6" x14ac:dyDescent="0.25">
      <c r="A744" s="1">
        <v>0</v>
      </c>
      <c r="B744" s="1">
        <v>140</v>
      </c>
      <c r="C744" s="1">
        <v>9.5000000000000001E-2</v>
      </c>
      <c r="D744" s="6">
        <f>C744*B744</f>
        <v>13.3</v>
      </c>
      <c r="E744" s="6">
        <f>B744-D744</f>
        <v>126.7</v>
      </c>
    </row>
    <row r="745" spans="1:6" x14ac:dyDescent="0.25">
      <c r="A745" s="1">
        <v>1</v>
      </c>
      <c r="B745" s="1">
        <v>146</v>
      </c>
      <c r="C745" s="1">
        <v>0.05</v>
      </c>
      <c r="D745" s="6">
        <f t="shared" ref="D745:D747" si="32">C745*B745</f>
        <v>7.3000000000000007</v>
      </c>
      <c r="E745" s="6">
        <f t="shared" ref="E745:E747" si="33">B745-D745</f>
        <v>138.69999999999999</v>
      </c>
    </row>
    <row r="746" spans="1:6" x14ac:dyDescent="0.25">
      <c r="A746" s="1">
        <v>2</v>
      </c>
      <c r="B746" s="1">
        <v>70</v>
      </c>
      <c r="C746" s="1">
        <v>8.7999999999999995E-2</v>
      </c>
      <c r="D746" s="6">
        <f t="shared" si="32"/>
        <v>6.1599999999999993</v>
      </c>
      <c r="E746" s="6">
        <f t="shared" si="33"/>
        <v>63.84</v>
      </c>
    </row>
    <row r="747" spans="1:6" x14ac:dyDescent="0.25">
      <c r="A747" s="1">
        <v>3</v>
      </c>
      <c r="B747" s="1">
        <v>44</v>
      </c>
      <c r="C747" s="1">
        <v>0.247</v>
      </c>
      <c r="D747" s="6">
        <f t="shared" si="32"/>
        <v>10.868</v>
      </c>
      <c r="E747" s="6">
        <f t="shared" si="33"/>
        <v>33.131999999999998</v>
      </c>
    </row>
    <row r="748" spans="1:6" x14ac:dyDescent="0.25">
      <c r="D748" s="6">
        <f>SUM(D744:D747)</f>
        <v>37.628</v>
      </c>
      <c r="E748" s="6">
        <f>SUM(E744:E747)</f>
        <v>362.37200000000001</v>
      </c>
    </row>
    <row r="749" spans="1:6" x14ac:dyDescent="0.25">
      <c r="A749" s="4" t="s">
        <v>1535</v>
      </c>
    </row>
    <row r="750" spans="1:6" x14ac:dyDescent="0.25">
      <c r="A750" s="4"/>
    </row>
    <row r="751" spans="1:6" x14ac:dyDescent="0.25">
      <c r="A751" s="1" t="s">
        <v>1548</v>
      </c>
      <c r="B751" t="s">
        <v>1537</v>
      </c>
      <c r="C751" s="1" t="s">
        <v>1538</v>
      </c>
      <c r="D751" s="1" t="s">
        <v>1539</v>
      </c>
      <c r="E751" s="1" t="s">
        <v>1540</v>
      </c>
      <c r="F751" s="1" t="s">
        <v>1246</v>
      </c>
    </row>
    <row r="752" spans="1:6" x14ac:dyDescent="0.25">
      <c r="A752" s="1">
        <v>2012</v>
      </c>
      <c r="B752" s="1">
        <v>372</v>
      </c>
      <c r="C752" s="1">
        <v>359</v>
      </c>
      <c r="D752" s="1">
        <v>392</v>
      </c>
      <c r="E752" s="1">
        <v>324</v>
      </c>
      <c r="F752" s="1">
        <f>SUM(B752:E752)</f>
        <v>1447</v>
      </c>
    </row>
    <row r="753" spans="1:9" x14ac:dyDescent="0.25">
      <c r="A753" s="1">
        <v>2016</v>
      </c>
      <c r="B753" s="1">
        <v>256</v>
      </c>
      <c r="C753" s="1">
        <v>253</v>
      </c>
      <c r="D753" s="1">
        <v>250</v>
      </c>
      <c r="E753" s="1">
        <v>261</v>
      </c>
      <c r="F753" s="1">
        <f t="shared" ref="F753:F755" si="34">SUM(B753:E753)</f>
        <v>1020</v>
      </c>
    </row>
    <row r="754" spans="1:9" x14ac:dyDescent="0.25">
      <c r="A754" s="1">
        <v>2019</v>
      </c>
      <c r="B754" s="1">
        <v>261</v>
      </c>
      <c r="C754" s="1">
        <v>254</v>
      </c>
      <c r="D754" s="1">
        <v>250</v>
      </c>
      <c r="E754" s="1">
        <v>251</v>
      </c>
      <c r="F754" s="1">
        <f t="shared" si="34"/>
        <v>1016</v>
      </c>
    </row>
    <row r="755" spans="1:9" x14ac:dyDescent="0.25">
      <c r="A755" s="1">
        <v>2023</v>
      </c>
      <c r="B755" s="1">
        <v>259</v>
      </c>
      <c r="C755" s="1">
        <v>261</v>
      </c>
      <c r="D755" s="1">
        <v>267</v>
      </c>
      <c r="E755" s="1">
        <v>260</v>
      </c>
      <c r="F755" s="1">
        <f t="shared" si="34"/>
        <v>1047</v>
      </c>
    </row>
    <row r="756" spans="1:9" x14ac:dyDescent="0.25">
      <c r="A756" s="1" t="s">
        <v>1246</v>
      </c>
      <c r="B756" s="1">
        <f>SUM(B752:B755)</f>
        <v>1148</v>
      </c>
      <c r="C756" s="1">
        <f t="shared" ref="C756:E756" si="35">SUM(C752:C755)</f>
        <v>1127</v>
      </c>
      <c r="D756" s="1">
        <f t="shared" si="35"/>
        <v>1159</v>
      </c>
      <c r="E756" s="1">
        <f t="shared" si="35"/>
        <v>1096</v>
      </c>
      <c r="F756" s="1">
        <f>SUM(B756:E756)</f>
        <v>4530</v>
      </c>
    </row>
    <row r="758" spans="1:9" x14ac:dyDescent="0.25">
      <c r="A758" s="1" t="s">
        <v>1249</v>
      </c>
      <c r="B758" s="1">
        <v>2012</v>
      </c>
      <c r="D758" s="1">
        <v>2016</v>
      </c>
      <c r="F758" s="1">
        <v>2019</v>
      </c>
      <c r="H758" s="1">
        <v>2023</v>
      </c>
    </row>
    <row r="759" spans="1:9" x14ac:dyDescent="0.25">
      <c r="A759" s="1" t="s">
        <v>1536</v>
      </c>
      <c r="B759" s="1" t="s">
        <v>1249</v>
      </c>
      <c r="C759" s="1" t="s">
        <v>1547</v>
      </c>
      <c r="D759" s="1" t="s">
        <v>1249</v>
      </c>
      <c r="E759" s="1" t="s">
        <v>1547</v>
      </c>
      <c r="F759" s="1" t="s">
        <v>1249</v>
      </c>
      <c r="G759" s="1" t="s">
        <v>1547</v>
      </c>
      <c r="H759" s="1" t="s">
        <v>1249</v>
      </c>
      <c r="I759" s="1" t="s">
        <v>1547</v>
      </c>
    </row>
    <row r="760" spans="1:9" x14ac:dyDescent="0.25">
      <c r="A760" t="s">
        <v>1537</v>
      </c>
      <c r="B760" s="1">
        <v>18</v>
      </c>
      <c r="C760" s="1">
        <v>364</v>
      </c>
      <c r="D760" s="1">
        <v>6</v>
      </c>
      <c r="E760" s="1">
        <v>227</v>
      </c>
      <c r="F760" s="1">
        <v>8</v>
      </c>
      <c r="G760" s="1">
        <v>261</v>
      </c>
      <c r="H760" s="1">
        <v>10</v>
      </c>
      <c r="I760" s="1">
        <v>259</v>
      </c>
    </row>
    <row r="761" spans="1:9" x14ac:dyDescent="0.25">
      <c r="A761" s="1" t="s">
        <v>1538</v>
      </c>
      <c r="B761" s="1">
        <v>3</v>
      </c>
      <c r="C761" s="1">
        <v>359</v>
      </c>
      <c r="D761" s="1">
        <v>1</v>
      </c>
      <c r="E761" s="1">
        <v>247</v>
      </c>
      <c r="F761" s="1">
        <v>1</v>
      </c>
      <c r="G761" s="1">
        <v>254</v>
      </c>
      <c r="H761" s="1">
        <v>1</v>
      </c>
      <c r="I761" s="1">
        <v>249</v>
      </c>
    </row>
    <row r="762" spans="1:9" x14ac:dyDescent="0.25">
      <c r="A762" s="1" t="s">
        <v>1539</v>
      </c>
      <c r="B762" s="1">
        <v>0</v>
      </c>
      <c r="C762" s="1">
        <v>392</v>
      </c>
      <c r="D762" s="1">
        <v>1</v>
      </c>
      <c r="E762" s="1">
        <v>246</v>
      </c>
      <c r="F762" s="1">
        <v>2</v>
      </c>
      <c r="G762" s="1">
        <v>248</v>
      </c>
      <c r="H762" s="1">
        <v>5</v>
      </c>
      <c r="I762" s="1">
        <v>267</v>
      </c>
    </row>
    <row r="763" spans="1:9" x14ac:dyDescent="0.25">
      <c r="A763" s="1" t="s">
        <v>1540</v>
      </c>
      <c r="B763" s="1">
        <v>7</v>
      </c>
      <c r="C763" s="1">
        <v>319</v>
      </c>
      <c r="D763" s="1">
        <v>5</v>
      </c>
      <c r="E763" s="1">
        <v>249</v>
      </c>
      <c r="F763" s="1">
        <v>4</v>
      </c>
      <c r="G763" s="1">
        <v>250</v>
      </c>
      <c r="H763" s="1">
        <v>6</v>
      </c>
      <c r="I763" s="1">
        <v>260</v>
      </c>
    </row>
    <row r="764" spans="1:9" x14ac:dyDescent="0.25">
      <c r="A764" s="1" t="s">
        <v>1246</v>
      </c>
      <c r="B764" s="1">
        <f>SUM(B760:B763)</f>
        <v>28</v>
      </c>
      <c r="C764" s="1">
        <f t="shared" ref="C764:I764" si="36">SUM(C760:C763)</f>
        <v>1434</v>
      </c>
      <c r="D764" s="1">
        <f t="shared" si="36"/>
        <v>13</v>
      </c>
      <c r="E764" s="1">
        <f t="shared" si="36"/>
        <v>969</v>
      </c>
      <c r="F764" s="1">
        <f t="shared" si="36"/>
        <v>15</v>
      </c>
      <c r="G764" s="1">
        <f t="shared" si="36"/>
        <v>1013</v>
      </c>
      <c r="H764" s="1">
        <f t="shared" si="36"/>
        <v>22</v>
      </c>
      <c r="I764" s="1">
        <f t="shared" si="36"/>
        <v>1035</v>
      </c>
    </row>
    <row r="766" spans="1:9" x14ac:dyDescent="0.25">
      <c r="A766" s="1" t="s">
        <v>1541</v>
      </c>
      <c r="B766" s="1">
        <f>SUM(B764,D764,F764,H764)</f>
        <v>78</v>
      </c>
    </row>
    <row r="767" spans="1:9" x14ac:dyDescent="0.25">
      <c r="A767" s="1" t="s">
        <v>1542</v>
      </c>
      <c r="B767" s="1">
        <f>SUM(C764,E764,G764,I764)</f>
        <v>4451</v>
      </c>
    </row>
    <row r="768" spans="1:9" x14ac:dyDescent="0.25">
      <c r="A768" s="1" t="s">
        <v>36</v>
      </c>
      <c r="B768" s="17">
        <f>B766/B767</f>
        <v>1.7524151875982927E-2</v>
      </c>
    </row>
    <row r="769" spans="1:9" x14ac:dyDescent="0.25">
      <c r="B769" s="17"/>
    </row>
    <row r="770" spans="1:9" x14ac:dyDescent="0.25">
      <c r="A770" s="1" t="s">
        <v>55</v>
      </c>
      <c r="B770" s="1">
        <v>2012</v>
      </c>
      <c r="D770" s="1">
        <v>2016</v>
      </c>
      <c r="F770" s="1">
        <v>2019</v>
      </c>
      <c r="H770" s="1">
        <v>2023</v>
      </c>
    </row>
    <row r="771" spans="1:9" x14ac:dyDescent="0.25">
      <c r="A771" s="1" t="s">
        <v>1536</v>
      </c>
      <c r="B771" s="1" t="s">
        <v>1376</v>
      </c>
      <c r="C771" s="1" t="s">
        <v>1547</v>
      </c>
      <c r="D771" s="1" t="s">
        <v>1376</v>
      </c>
      <c r="E771" s="1" t="s">
        <v>1547</v>
      </c>
      <c r="F771" s="1" t="s">
        <v>1376</v>
      </c>
      <c r="G771" s="1" t="s">
        <v>1547</v>
      </c>
      <c r="H771" s="1" t="s">
        <v>1376</v>
      </c>
      <c r="I771" s="1" t="s">
        <v>1547</v>
      </c>
    </row>
    <row r="772" spans="1:9" x14ac:dyDescent="0.25">
      <c r="A772" t="s">
        <v>1537</v>
      </c>
      <c r="B772" s="1">
        <v>114</v>
      </c>
      <c r="C772" s="1">
        <v>372</v>
      </c>
      <c r="D772" s="1">
        <v>173</v>
      </c>
      <c r="E772" s="1">
        <v>256</v>
      </c>
      <c r="F772" s="1">
        <v>133</v>
      </c>
      <c r="G772" s="1">
        <v>261</v>
      </c>
      <c r="H772" s="1">
        <v>100</v>
      </c>
      <c r="I772" s="1">
        <v>181</v>
      </c>
    </row>
    <row r="773" spans="1:9" x14ac:dyDescent="0.25">
      <c r="A773" s="1" t="s">
        <v>1538</v>
      </c>
      <c r="B773" s="1">
        <v>67</v>
      </c>
      <c r="C773" s="1">
        <v>359</v>
      </c>
      <c r="D773" s="1">
        <v>91</v>
      </c>
      <c r="E773" s="1">
        <v>253</v>
      </c>
      <c r="F773" s="1">
        <v>93</v>
      </c>
      <c r="G773" s="1">
        <v>254</v>
      </c>
      <c r="H773" s="1">
        <v>118</v>
      </c>
      <c r="I773" s="1">
        <v>152</v>
      </c>
    </row>
    <row r="774" spans="1:9" x14ac:dyDescent="0.25">
      <c r="A774" s="1" t="s">
        <v>1539</v>
      </c>
      <c r="B774" s="1">
        <v>104</v>
      </c>
      <c r="C774" s="1">
        <v>392</v>
      </c>
      <c r="D774" s="1">
        <v>92</v>
      </c>
      <c r="E774" s="1">
        <v>250</v>
      </c>
      <c r="F774" s="1">
        <v>88</v>
      </c>
      <c r="G774" s="1">
        <v>250</v>
      </c>
      <c r="H774" s="1">
        <v>77</v>
      </c>
      <c r="I774" s="1">
        <v>145</v>
      </c>
    </row>
    <row r="775" spans="1:9" x14ac:dyDescent="0.25">
      <c r="A775" s="1" t="s">
        <v>1540</v>
      </c>
      <c r="B775" s="1">
        <v>98</v>
      </c>
      <c r="C775" s="1">
        <v>324</v>
      </c>
      <c r="D775" s="1">
        <v>74</v>
      </c>
      <c r="E775" s="1">
        <v>261</v>
      </c>
      <c r="F775" s="1">
        <v>91</v>
      </c>
      <c r="G775" s="1">
        <v>251</v>
      </c>
      <c r="H775" s="1">
        <v>99</v>
      </c>
      <c r="I775" s="1">
        <v>137</v>
      </c>
    </row>
    <row r="776" spans="1:9" x14ac:dyDescent="0.25">
      <c r="A776" s="1" t="s">
        <v>1246</v>
      </c>
      <c r="B776" s="1">
        <f>SUM(B772:B775)</f>
        <v>383</v>
      </c>
      <c r="C776" s="1">
        <f t="shared" ref="C776" si="37">SUM(C772:C775)</f>
        <v>1447</v>
      </c>
      <c r="D776" s="1">
        <f>SUM(D772:D775)</f>
        <v>430</v>
      </c>
      <c r="E776" s="1">
        <f>SUM(E772:E775)</f>
        <v>1020</v>
      </c>
      <c r="F776" s="1">
        <f>SUM(F772:F775)</f>
        <v>405</v>
      </c>
      <c r="G776" s="1">
        <f>SUM(G772:G775)</f>
        <v>1016</v>
      </c>
      <c r="H776" s="1">
        <f t="shared" ref="H776" si="38">SUM(H772:H775)</f>
        <v>394</v>
      </c>
      <c r="I776" s="1">
        <f t="shared" ref="I776" si="39">SUM(I772:I775)</f>
        <v>615</v>
      </c>
    </row>
    <row r="778" spans="1:9" x14ac:dyDescent="0.25">
      <c r="A778" s="1" t="s">
        <v>1541</v>
      </c>
      <c r="B778" s="1">
        <f>SUM(B776,D776,F776,H776)</f>
        <v>1612</v>
      </c>
    </row>
    <row r="779" spans="1:9" x14ac:dyDescent="0.25">
      <c r="A779" s="1" t="s">
        <v>1542</v>
      </c>
      <c r="B779" s="1">
        <f>SUM(C776,E776,G776,I776)</f>
        <v>4098</v>
      </c>
    </row>
    <row r="780" spans="1:9" x14ac:dyDescent="0.25">
      <c r="A780" s="1" t="s">
        <v>1376</v>
      </c>
      <c r="B780" s="17">
        <f>B778/B779</f>
        <v>0.39336261591020011</v>
      </c>
    </row>
    <row r="782" spans="1:9" x14ac:dyDescent="0.25">
      <c r="A782" s="1" t="s">
        <v>1440</v>
      </c>
      <c r="B782" s="1">
        <v>2012</v>
      </c>
      <c r="D782" s="1">
        <v>2016</v>
      </c>
      <c r="F782" s="1">
        <v>2019</v>
      </c>
      <c r="H782" s="1">
        <v>2023</v>
      </c>
    </row>
    <row r="783" spans="1:9" x14ac:dyDescent="0.25">
      <c r="A783" s="1" t="s">
        <v>1536</v>
      </c>
      <c r="B783" s="1" t="s">
        <v>1376</v>
      </c>
      <c r="C783" s="1" t="s">
        <v>1547</v>
      </c>
      <c r="D783" s="1" t="s">
        <v>1376</v>
      </c>
      <c r="E783" s="1" t="s">
        <v>1547</v>
      </c>
      <c r="F783" s="1" t="s">
        <v>1376</v>
      </c>
      <c r="G783" s="1" t="s">
        <v>1547</v>
      </c>
      <c r="H783" s="1" t="s">
        <v>1376</v>
      </c>
      <c r="I783" s="1" t="s">
        <v>1547</v>
      </c>
    </row>
    <row r="784" spans="1:9" x14ac:dyDescent="0.25">
      <c r="A784" t="s">
        <v>1537</v>
      </c>
      <c r="B784" s="1">
        <v>179</v>
      </c>
      <c r="C784" s="1">
        <v>372</v>
      </c>
      <c r="D784" s="1">
        <v>201</v>
      </c>
      <c r="E784" s="1">
        <v>256</v>
      </c>
      <c r="F784" s="1">
        <v>216</v>
      </c>
      <c r="G784" s="1">
        <v>261</v>
      </c>
      <c r="H784" s="1">
        <v>178</v>
      </c>
      <c r="I784" s="1">
        <v>255</v>
      </c>
    </row>
    <row r="785" spans="1:9" x14ac:dyDescent="0.25">
      <c r="A785" s="1" t="s">
        <v>1538</v>
      </c>
      <c r="B785" s="1">
        <v>105</v>
      </c>
      <c r="C785" s="1">
        <v>359</v>
      </c>
      <c r="D785" s="1">
        <v>144</v>
      </c>
      <c r="E785" s="1">
        <v>253</v>
      </c>
      <c r="F785" s="1">
        <v>168</v>
      </c>
      <c r="G785" s="1">
        <v>254</v>
      </c>
      <c r="H785" s="1">
        <v>152</v>
      </c>
      <c r="I785" s="1">
        <v>248</v>
      </c>
    </row>
    <row r="786" spans="1:9" x14ac:dyDescent="0.25">
      <c r="A786" s="1" t="s">
        <v>1539</v>
      </c>
      <c r="B786" s="1">
        <v>169</v>
      </c>
      <c r="C786" s="1">
        <v>392</v>
      </c>
      <c r="D786" s="1">
        <v>148</v>
      </c>
      <c r="E786" s="1">
        <v>250</v>
      </c>
      <c r="F786" s="1">
        <v>153</v>
      </c>
      <c r="G786" s="1">
        <v>250</v>
      </c>
      <c r="H786" s="1">
        <v>145</v>
      </c>
      <c r="I786" s="1">
        <v>262</v>
      </c>
    </row>
    <row r="787" spans="1:9" x14ac:dyDescent="0.25">
      <c r="A787" s="1" t="s">
        <v>1540</v>
      </c>
      <c r="B787" s="1">
        <v>135</v>
      </c>
      <c r="C787" s="1">
        <v>324</v>
      </c>
      <c r="D787" s="1">
        <v>126</v>
      </c>
      <c r="E787" s="1">
        <v>261</v>
      </c>
      <c r="F787" s="1">
        <v>131</v>
      </c>
      <c r="G787" s="1">
        <v>251</v>
      </c>
      <c r="H787" s="1">
        <v>139</v>
      </c>
      <c r="I787" s="1">
        <v>239</v>
      </c>
    </row>
    <row r="788" spans="1:9" x14ac:dyDescent="0.25">
      <c r="A788" s="1" t="s">
        <v>1246</v>
      </c>
      <c r="B788" s="1">
        <f>SUM(B784:B787)</f>
        <v>588</v>
      </c>
      <c r="C788" s="1">
        <f t="shared" ref="C788:I788" si="40">SUM(C784:C787)</f>
        <v>1447</v>
      </c>
      <c r="D788" s="1">
        <f t="shared" si="40"/>
        <v>619</v>
      </c>
      <c r="E788" s="1">
        <f t="shared" si="40"/>
        <v>1020</v>
      </c>
      <c r="F788" s="1">
        <f t="shared" si="40"/>
        <v>668</v>
      </c>
      <c r="G788" s="1">
        <f t="shared" si="40"/>
        <v>1016</v>
      </c>
      <c r="H788" s="1">
        <f t="shared" si="40"/>
        <v>614</v>
      </c>
      <c r="I788" s="1">
        <f t="shared" si="40"/>
        <v>1004</v>
      </c>
    </row>
    <row r="790" spans="1:9" x14ac:dyDescent="0.25">
      <c r="A790" s="1" t="s">
        <v>1541</v>
      </c>
      <c r="B790" s="1">
        <f>SUM(B788,D788,F788,H788)</f>
        <v>2489</v>
      </c>
    </row>
    <row r="791" spans="1:9" x14ac:dyDescent="0.25">
      <c r="A791" s="1" t="s">
        <v>1542</v>
      </c>
      <c r="B791" s="1">
        <f>SUM(C788,E788,G788,I788)</f>
        <v>4487</v>
      </c>
    </row>
    <row r="792" spans="1:9" x14ac:dyDescent="0.25">
      <c r="A792" s="1" t="s">
        <v>1376</v>
      </c>
      <c r="B792" s="17">
        <f>B790/B791</f>
        <v>0.55471361711611322</v>
      </c>
    </row>
    <row r="793" spans="1:9" x14ac:dyDescent="0.25">
      <c r="B793" s="17"/>
    </row>
    <row r="795" spans="1:9" x14ac:dyDescent="0.25">
      <c r="A795" s="1" t="s">
        <v>1273</v>
      </c>
    </row>
    <row r="797" spans="1:9" x14ac:dyDescent="0.25">
      <c r="A797" s="1" t="s">
        <v>1274</v>
      </c>
      <c r="B797" s="1">
        <f>(-0.862)+SQRT(0.743-(2.404*LN(0.0263)))</f>
        <v>2.2184545055681957</v>
      </c>
      <c r="D797" s="1" t="s">
        <v>1545</v>
      </c>
      <c r="F797" s="1" t="s">
        <v>1274</v>
      </c>
      <c r="G797" s="1">
        <f>(-0.862)+SQRT(0.743-(2.404*LN(0.0219)))</f>
        <v>2.2890839112521064</v>
      </c>
      <c r="I797" s="1" t="s">
        <v>1550</v>
      </c>
    </row>
    <row r="798" spans="1:9" x14ac:dyDescent="0.25">
      <c r="A798" s="1" t="s">
        <v>1275</v>
      </c>
      <c r="B798" s="1">
        <f>LN(0.3285)</f>
        <v>-1.1132184410574717</v>
      </c>
      <c r="D798" s="1" t="s">
        <v>1546</v>
      </c>
      <c r="F798" s="1" t="s">
        <v>1275</v>
      </c>
      <c r="G798" s="1">
        <f>LN(0.3584)</f>
        <v>-1.0261055978813616</v>
      </c>
      <c r="I798" s="1" t="s">
        <v>1551</v>
      </c>
    </row>
    <row r="799" spans="1:9" x14ac:dyDescent="0.25">
      <c r="A799" s="1" t="s">
        <v>1276</v>
      </c>
      <c r="B799" s="1">
        <f>B798/B797</f>
        <v>-0.50179908502218828</v>
      </c>
      <c r="F799" s="1" t="s">
        <v>1276</v>
      </c>
      <c r="G799" s="1">
        <f>G798/G797</f>
        <v>-0.44826036862934043</v>
      </c>
    </row>
    <row r="800" spans="1:9" x14ac:dyDescent="0.25">
      <c r="A800" s="1" t="s">
        <v>1277</v>
      </c>
      <c r="B800" s="1">
        <f>1.96*B799</f>
        <v>-0.983526206643489</v>
      </c>
      <c r="F800" s="1" t="s">
        <v>1277</v>
      </c>
      <c r="G800" s="1">
        <f>1.96*G799</f>
        <v>-0.87859032251350722</v>
      </c>
    </row>
    <row r="801" spans="1:8" x14ac:dyDescent="0.25">
      <c r="A801" s="1" t="s">
        <v>1279</v>
      </c>
      <c r="B801" s="1">
        <f>B798-B800</f>
        <v>-0.1296922344139827</v>
      </c>
      <c r="F801" s="1" t="s">
        <v>1279</v>
      </c>
      <c r="G801" s="1">
        <f>G798-G800</f>
        <v>-0.14751527536785436</v>
      </c>
    </row>
    <row r="802" spans="1:8" x14ac:dyDescent="0.25">
      <c r="A802" s="1" t="s">
        <v>1278</v>
      </c>
      <c r="B802" s="1">
        <f>B798+B800</f>
        <v>-2.0967446477009606</v>
      </c>
      <c r="F802" s="1" t="s">
        <v>1278</v>
      </c>
      <c r="G802" s="1">
        <f>G798+G800</f>
        <v>-1.9046959203948688</v>
      </c>
    </row>
    <row r="803" spans="1:8" x14ac:dyDescent="0.25">
      <c r="A803" s="1" t="s">
        <v>1281</v>
      </c>
      <c r="B803" s="18">
        <f>EXP(B801)</f>
        <v>0.87836572006615288</v>
      </c>
      <c r="F803" s="1" t="s">
        <v>1281</v>
      </c>
      <c r="G803" s="18">
        <f>EXP(G801)</f>
        <v>0.86284925788089062</v>
      </c>
    </row>
    <row r="804" spans="1:8" x14ac:dyDescent="0.25">
      <c r="A804" s="1" t="s">
        <v>1280</v>
      </c>
      <c r="B804" s="18">
        <f>EXP(B802)</f>
        <v>0.12285571662777639</v>
      </c>
      <c r="F804" s="1" t="s">
        <v>1280</v>
      </c>
      <c r="G804" s="18">
        <f>EXP(G802)</f>
        <v>0.14886790343363959</v>
      </c>
    </row>
    <row r="806" spans="1:8" x14ac:dyDescent="0.25">
      <c r="A806" s="1" t="s">
        <v>1282</v>
      </c>
      <c r="B806" s="8" t="s">
        <v>1283</v>
      </c>
      <c r="F806" s="1" t="s">
        <v>1282</v>
      </c>
      <c r="G806" s="8" t="s">
        <v>1283</v>
      </c>
    </row>
    <row r="808" spans="1:8" x14ac:dyDescent="0.25">
      <c r="A808" s="1" t="s">
        <v>1556</v>
      </c>
    </row>
    <row r="809" spans="1:8" x14ac:dyDescent="0.25">
      <c r="B809" s="1" t="s">
        <v>1249</v>
      </c>
      <c r="C809" s="1" t="s">
        <v>1250</v>
      </c>
      <c r="G809" s="1" t="s">
        <v>1</v>
      </c>
      <c r="H809" s="1">
        <v>1.1499999999999999</v>
      </c>
    </row>
    <row r="810" spans="1:8" x14ac:dyDescent="0.25">
      <c r="A810" s="1" t="s">
        <v>1557</v>
      </c>
      <c r="B810" s="1">
        <v>371</v>
      </c>
      <c r="C810" s="1">
        <f>D810-B810</f>
        <v>970</v>
      </c>
      <c r="D810" s="1">
        <f>398+381+562</f>
        <v>1341</v>
      </c>
      <c r="E810" s="1">
        <f>D810/E811</f>
        <v>0.52280701754385961</v>
      </c>
      <c r="G810" s="1" t="s">
        <v>1258</v>
      </c>
      <c r="H810" s="1">
        <v>0.97</v>
      </c>
    </row>
    <row r="811" spans="1:8" x14ac:dyDescent="0.25">
      <c r="A811" s="1" t="s">
        <v>1335</v>
      </c>
      <c r="B811" s="1">
        <f>B812-B810</f>
        <v>305</v>
      </c>
      <c r="C811" s="1">
        <f>D811-B811</f>
        <v>919</v>
      </c>
      <c r="D811" s="1">
        <f>E811-D810</f>
        <v>1224</v>
      </c>
      <c r="E811" s="1">
        <f>779+707+1079</f>
        <v>2565</v>
      </c>
      <c r="G811" s="1" t="s">
        <v>1259</v>
      </c>
      <c r="H811" s="1">
        <v>1.37</v>
      </c>
    </row>
    <row r="812" spans="1:8" x14ac:dyDescent="0.25">
      <c r="B812" s="1">
        <v>676</v>
      </c>
      <c r="C812" s="1">
        <f>SUM(C810:C811)</f>
        <v>1889</v>
      </c>
      <c r="D812" s="1">
        <f>SUM(D810:D811)</f>
        <v>2565</v>
      </c>
      <c r="E812" s="1">
        <f>B812/D812</f>
        <v>0.26354775828460036</v>
      </c>
      <c r="G812" s="1" t="s">
        <v>1260</v>
      </c>
      <c r="H812" s="1">
        <v>0.115</v>
      </c>
    </row>
    <row r="814" spans="1:8" x14ac:dyDescent="0.25">
      <c r="B814" s="1" t="s">
        <v>1249</v>
      </c>
      <c r="C814" s="1" t="s">
        <v>1250</v>
      </c>
      <c r="G814" s="1" t="s">
        <v>1</v>
      </c>
      <c r="H814" s="1">
        <v>1</v>
      </c>
    </row>
    <row r="815" spans="1:8" x14ac:dyDescent="0.25">
      <c r="A815" s="1" t="s">
        <v>1560</v>
      </c>
      <c r="B815" s="1">
        <v>257</v>
      </c>
      <c r="C815" s="1">
        <f>D815-B815</f>
        <v>718</v>
      </c>
      <c r="D815" s="1">
        <f>302+287+386</f>
        <v>975</v>
      </c>
      <c r="E815" s="1">
        <f>D815/E816</f>
        <v>0.38011695906432746</v>
      </c>
      <c r="G815" s="1" t="s">
        <v>1258</v>
      </c>
      <c r="H815" s="1">
        <v>0.83</v>
      </c>
    </row>
    <row r="816" spans="1:8" x14ac:dyDescent="0.25">
      <c r="A816" s="1" t="s">
        <v>1331</v>
      </c>
      <c r="B816" s="1">
        <f>B817-B815</f>
        <v>419</v>
      </c>
      <c r="C816" s="1">
        <f>D816-B816</f>
        <v>1171</v>
      </c>
      <c r="D816" s="1">
        <f>E816-D815</f>
        <v>1590</v>
      </c>
      <c r="E816" s="1">
        <f>779+707+1079</f>
        <v>2565</v>
      </c>
      <c r="G816" s="1" t="s">
        <v>1259</v>
      </c>
      <c r="H816" s="1">
        <v>1.2</v>
      </c>
    </row>
    <row r="817" spans="1:8" x14ac:dyDescent="0.25">
      <c r="B817" s="1">
        <v>676</v>
      </c>
      <c r="C817" s="1">
        <f>SUM(C815:C816)</f>
        <v>1889</v>
      </c>
      <c r="D817" s="1">
        <f>SUM(D815:D816)</f>
        <v>2565</v>
      </c>
      <c r="E817" s="1">
        <f>B817/D817</f>
        <v>0.26354775828460036</v>
      </c>
      <c r="G817" s="1" t="s">
        <v>1260</v>
      </c>
      <c r="H817" s="1">
        <v>0.997</v>
      </c>
    </row>
    <row r="819" spans="1:8" x14ac:dyDescent="0.25">
      <c r="B819" s="1" t="s">
        <v>1249</v>
      </c>
      <c r="C819" s="1" t="s">
        <v>1250</v>
      </c>
      <c r="G819" s="1" t="s">
        <v>1</v>
      </c>
      <c r="H819" s="1">
        <v>0.89</v>
      </c>
    </row>
    <row r="820" spans="1:8" x14ac:dyDescent="0.25">
      <c r="A820" s="1" t="s">
        <v>1328</v>
      </c>
      <c r="B820" s="1">
        <v>156</v>
      </c>
      <c r="C820" s="1">
        <f>D820-B820</f>
        <v>477</v>
      </c>
      <c r="D820" s="1">
        <f>197+193+243</f>
        <v>633</v>
      </c>
      <c r="E820" s="1">
        <f>D820/E821</f>
        <v>0.24678362573099416</v>
      </c>
      <c r="G820" s="1" t="s">
        <v>1258</v>
      </c>
      <c r="H820" s="1">
        <v>0.72</v>
      </c>
    </row>
    <row r="821" spans="1:8" x14ac:dyDescent="0.25">
      <c r="A821" s="1" t="s">
        <v>1329</v>
      </c>
      <c r="B821" s="1">
        <f>B822-B820</f>
        <v>520</v>
      </c>
      <c r="C821" s="1">
        <f>D821-B821</f>
        <v>1412</v>
      </c>
      <c r="D821" s="1">
        <f>E821-D820</f>
        <v>1932</v>
      </c>
      <c r="E821" s="1">
        <f>779+707+1079</f>
        <v>2565</v>
      </c>
      <c r="G821" s="1" t="s">
        <v>1259</v>
      </c>
      <c r="H821" s="1">
        <v>1.0900000000000001</v>
      </c>
    </row>
    <row r="822" spans="1:8" x14ac:dyDescent="0.25">
      <c r="B822" s="1">
        <v>676</v>
      </c>
      <c r="C822" s="1">
        <f>SUM(C820:C821)</f>
        <v>1889</v>
      </c>
      <c r="D822" s="1">
        <f>SUM(D820:D821)</f>
        <v>2565</v>
      </c>
      <c r="E822" s="1">
        <f>B822/D822</f>
        <v>0.26354775828460036</v>
      </c>
      <c r="G822" s="1" t="s">
        <v>1260</v>
      </c>
      <c r="H822" s="1">
        <v>0.26100000000000001</v>
      </c>
    </row>
    <row r="824" spans="1:8" x14ac:dyDescent="0.25">
      <c r="A824" s="1" t="s">
        <v>1572</v>
      </c>
    </row>
    <row r="826" spans="1:8" x14ac:dyDescent="0.25">
      <c r="B826" s="1" t="s">
        <v>1249</v>
      </c>
      <c r="C826" s="1" t="s">
        <v>1250</v>
      </c>
      <c r="G826" s="1" t="s">
        <v>1</v>
      </c>
      <c r="H826" s="19">
        <v>0.78</v>
      </c>
    </row>
    <row r="827" spans="1:8" x14ac:dyDescent="0.25">
      <c r="A827" s="1" t="s">
        <v>1409</v>
      </c>
      <c r="B827" s="1">
        <v>85</v>
      </c>
      <c r="C827" s="1">
        <v>33</v>
      </c>
      <c r="D827" s="1">
        <f>SUM(B827:C827)</f>
        <v>118</v>
      </c>
      <c r="G827" s="1" t="s">
        <v>1258</v>
      </c>
      <c r="H827" s="19">
        <v>0.42</v>
      </c>
    </row>
    <row r="828" spans="1:8" x14ac:dyDescent="0.25">
      <c r="A828" s="1" t="s">
        <v>1410</v>
      </c>
      <c r="B828" s="1">
        <f>B829-B827</f>
        <v>76</v>
      </c>
      <c r="C828" s="1">
        <f>C829-C827</f>
        <v>23</v>
      </c>
      <c r="D828" s="1">
        <f t="shared" ref="D828:D829" si="41">SUM(B828:C828)</f>
        <v>99</v>
      </c>
      <c r="G828" s="1" t="s">
        <v>1259</v>
      </c>
      <c r="H828" s="19">
        <v>1.44</v>
      </c>
    </row>
    <row r="829" spans="1:8" x14ac:dyDescent="0.25">
      <c r="B829" s="1">
        <v>161</v>
      </c>
      <c r="C829" s="1">
        <v>56</v>
      </c>
      <c r="D829" s="1">
        <f t="shared" si="41"/>
        <v>217</v>
      </c>
      <c r="E829" s="1">
        <f>D827/D829</f>
        <v>0.54377880184331795</v>
      </c>
      <c r="G829" s="1" t="s">
        <v>1260</v>
      </c>
      <c r="H829" s="19">
        <v>0.42799999999999999</v>
      </c>
    </row>
  </sheetData>
  <hyperlinks>
    <hyperlink ref="B72" r:id="rId1" xr:uid="{4DFECE30-A4C3-4E90-8924-8A988EAB6BAE}"/>
    <hyperlink ref="B219" r:id="rId2" xr:uid="{60C1F7F2-0847-4EA9-963A-949FA50A63B4}"/>
    <hyperlink ref="B806" r:id="rId3" xr:uid="{64D16F16-073C-441A-A205-CDD2E8C732E8}"/>
    <hyperlink ref="G806" r:id="rId4" xr:uid="{CDB2C4E7-9001-468B-8856-A2E571FA549F}"/>
  </hyperlinks>
  <pageMargins left="0.7" right="0.7" top="0.75" bottom="0.75" header="0.3" footer="0.3"/>
  <pageSetup paperSize="9" orientation="portrait"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9DA5-8C9F-4A4C-BA20-17DC58502FE9}">
  <dimension ref="A1:MR228"/>
  <sheetViews>
    <sheetView tabSelected="1" zoomScale="115" zoomScaleNormal="115" workbookViewId="0">
      <pane xSplit="1" ySplit="1" topLeftCell="S2" activePane="bottomRight" state="frozen"/>
      <selection pane="topRight" activeCell="B1" sqref="B1"/>
      <selection pane="bottomLeft" activeCell="A2" sqref="A2"/>
      <selection pane="bottomRight" activeCell="V9" sqref="V9"/>
    </sheetView>
  </sheetViews>
  <sheetFormatPr defaultColWidth="8.7109375" defaultRowHeight="15" x14ac:dyDescent="0.25"/>
  <cols>
    <col min="1" max="1" width="26.42578125" bestFit="1" customWidth="1"/>
    <col min="2" max="2" width="21.85546875" customWidth="1"/>
    <col min="5" max="8" width="10.42578125" customWidth="1"/>
    <col min="9" max="9" width="10.28515625" customWidth="1"/>
    <col min="11" max="12" width="13.7109375" customWidth="1"/>
    <col min="13" max="13" width="12.7109375" customWidth="1"/>
    <col min="14" max="14" width="12.42578125" customWidth="1"/>
    <col min="17" max="22" width="12.28515625" customWidth="1"/>
    <col min="24" max="27" width="12.28515625" customWidth="1"/>
    <col min="28" max="28" width="10.7109375" customWidth="1"/>
    <col min="29" max="29" width="15.28515625" customWidth="1"/>
    <col min="30" max="30" width="15.42578125" customWidth="1"/>
    <col min="31" max="31" width="10.140625" customWidth="1"/>
    <col min="32" max="33" width="9.42578125" customWidth="1"/>
    <col min="34" max="34" width="18.28515625" customWidth="1"/>
    <col min="35" max="35" width="23.140625" bestFit="1" customWidth="1"/>
    <col min="36" max="36" width="17.85546875" bestFit="1" customWidth="1"/>
    <col min="37" max="37" width="21.140625" customWidth="1"/>
    <col min="38" max="38" width="16.140625" customWidth="1"/>
    <col min="39" max="39" width="12.28515625" customWidth="1"/>
    <col min="40" max="42" width="14.28515625" customWidth="1"/>
    <col min="43" max="43" width="17.7109375" customWidth="1"/>
    <col min="44" max="44" width="22.42578125" customWidth="1"/>
    <col min="45" max="45" width="13.28515625" customWidth="1"/>
    <col min="46" max="46" width="24.42578125" customWidth="1"/>
    <col min="48" max="48" width="21.7109375" customWidth="1"/>
    <col min="49" max="49" width="20.42578125" customWidth="1"/>
    <col min="50" max="50" width="15.7109375" customWidth="1"/>
    <col min="52" max="52" width="18.28515625" customWidth="1"/>
    <col min="53" max="53" width="12" customWidth="1"/>
    <col min="54" max="55" width="17.7109375" customWidth="1"/>
    <col min="56" max="56" width="11.42578125" customWidth="1"/>
    <col min="57" max="57" width="10.42578125" customWidth="1"/>
    <col min="58" max="58" width="10.28515625" customWidth="1"/>
    <col min="59" max="59" width="10.42578125" customWidth="1"/>
    <col min="60" max="60" width="9.7109375" customWidth="1"/>
    <col min="61" max="61" width="10.7109375" customWidth="1"/>
    <col min="63" max="64" width="10.7109375" customWidth="1"/>
    <col min="65" max="65" width="10.28515625" customWidth="1"/>
    <col min="66" max="66" width="234.7109375" bestFit="1" customWidth="1"/>
    <col min="67" max="67" width="13.28515625" customWidth="1"/>
    <col min="68" max="69" width="12.7109375" customWidth="1"/>
    <col min="70" max="70" width="11" customWidth="1"/>
    <col min="71" max="72" width="13.28515625" customWidth="1"/>
    <col min="73" max="73" width="14.42578125" customWidth="1"/>
    <col min="74" max="75" width="20.42578125" customWidth="1"/>
    <col min="76" max="76" width="13.28515625" customWidth="1"/>
    <col min="77" max="77" width="11" customWidth="1"/>
    <col min="78" max="78" width="18.28515625" customWidth="1"/>
    <col min="79" max="79" width="16.28515625" customWidth="1"/>
    <col min="80" max="80" width="15" customWidth="1"/>
    <col min="81" max="81" width="15.140625" customWidth="1"/>
    <col min="82" max="82" width="12.7109375" customWidth="1"/>
    <col min="83" max="83" width="14.7109375" customWidth="1"/>
    <col min="84" max="84" width="14.28515625" customWidth="1"/>
    <col min="85" max="85" width="14" customWidth="1"/>
    <col min="86" max="86" width="14.28515625" customWidth="1"/>
    <col min="87" max="87" width="10.7109375" customWidth="1"/>
    <col min="88" max="88" width="12.7109375" customWidth="1"/>
    <col min="89" max="89" width="15.28515625" customWidth="1"/>
    <col min="90" max="91" width="10.42578125" customWidth="1"/>
    <col min="93" max="93" width="18.7109375" bestFit="1" customWidth="1"/>
  </cols>
  <sheetData>
    <row r="1" spans="1:58" s="3" customFormat="1" x14ac:dyDescent="0.25">
      <c r="A1" s="4" t="s">
        <v>448</v>
      </c>
      <c r="B1" s="4" t="s">
        <v>447</v>
      </c>
      <c r="C1" s="4" t="s">
        <v>446</v>
      </c>
      <c r="D1" s="4" t="s">
        <v>445</v>
      </c>
      <c r="E1" s="4" t="s">
        <v>444</v>
      </c>
      <c r="F1" s="4" t="s">
        <v>1529</v>
      </c>
      <c r="G1" s="4" t="s">
        <v>1518</v>
      </c>
      <c r="H1" s="4" t="s">
        <v>443</v>
      </c>
      <c r="I1" s="4" t="s">
        <v>1523</v>
      </c>
      <c r="J1" s="4" t="s">
        <v>441</v>
      </c>
      <c r="K1" s="4" t="s">
        <v>1516</v>
      </c>
      <c r="L1" s="4" t="s">
        <v>1517</v>
      </c>
      <c r="M1" s="4" t="s">
        <v>440</v>
      </c>
      <c r="N1" s="4" t="s">
        <v>439</v>
      </c>
      <c r="O1" s="4" t="s">
        <v>438</v>
      </c>
      <c r="P1" s="4" t="s">
        <v>1530</v>
      </c>
      <c r="Q1" s="4" t="s">
        <v>1519</v>
      </c>
      <c r="R1" s="4" t="s">
        <v>1521</v>
      </c>
      <c r="S1" s="4" t="s">
        <v>442</v>
      </c>
      <c r="T1" s="4" t="s">
        <v>437</v>
      </c>
      <c r="U1" s="4" t="s">
        <v>436</v>
      </c>
      <c r="V1" s="4" t="s">
        <v>1573</v>
      </c>
      <c r="W1" s="4" t="s">
        <v>435</v>
      </c>
      <c r="X1" s="4" t="s">
        <v>434</v>
      </c>
      <c r="Y1" s="4" t="s">
        <v>433</v>
      </c>
      <c r="Z1" s="4" t="s">
        <v>432</v>
      </c>
      <c r="AA1" s="4" t="s">
        <v>431</v>
      </c>
      <c r="AB1" s="4" t="s">
        <v>430</v>
      </c>
      <c r="AC1" s="4" t="s">
        <v>429</v>
      </c>
      <c r="AD1" s="4" t="s">
        <v>428</v>
      </c>
      <c r="AE1" s="4" t="s">
        <v>427</v>
      </c>
      <c r="AF1" s="4" t="s">
        <v>426</v>
      </c>
      <c r="AG1" s="4" t="s">
        <v>425</v>
      </c>
      <c r="AH1" s="4" t="s">
        <v>424</v>
      </c>
      <c r="AI1" s="4" t="s">
        <v>423</v>
      </c>
      <c r="AJ1" s="4" t="s">
        <v>422</v>
      </c>
      <c r="AK1" s="4" t="s">
        <v>421</v>
      </c>
      <c r="AL1" s="4" t="s">
        <v>420</v>
      </c>
      <c r="AM1" s="4" t="s">
        <v>419</v>
      </c>
      <c r="AN1" s="4" t="s">
        <v>418</v>
      </c>
      <c r="AO1" s="4" t="s">
        <v>417</v>
      </c>
      <c r="AP1" s="4" t="s">
        <v>416</v>
      </c>
      <c r="AQ1" s="4" t="s">
        <v>415</v>
      </c>
      <c r="AR1" s="4" t="s">
        <v>414</v>
      </c>
      <c r="AS1" s="4" t="s">
        <v>413</v>
      </c>
      <c r="AT1" s="4" t="s">
        <v>412</v>
      </c>
      <c r="AU1" s="4" t="s">
        <v>411</v>
      </c>
      <c r="AV1" s="4" t="s">
        <v>410</v>
      </c>
      <c r="AW1" s="4" t="s">
        <v>409</v>
      </c>
      <c r="AX1" s="4" t="s">
        <v>408</v>
      </c>
      <c r="AY1" s="4" t="s">
        <v>407</v>
      </c>
      <c r="AZ1" s="4" t="s">
        <v>406</v>
      </c>
      <c r="BA1" s="4" t="s">
        <v>405</v>
      </c>
      <c r="BB1" s="4" t="s">
        <v>404</v>
      </c>
      <c r="BC1" s="4" t="s">
        <v>403</v>
      </c>
      <c r="BD1" s="4" t="s">
        <v>402</v>
      </c>
      <c r="BE1" s="4" t="s">
        <v>401</v>
      </c>
      <c r="BF1" s="4" t="s">
        <v>400</v>
      </c>
    </row>
    <row r="2" spans="1:58" x14ac:dyDescent="0.25">
      <c r="A2" s="1" t="s">
        <v>204</v>
      </c>
      <c r="B2" s="1" t="s">
        <v>203</v>
      </c>
      <c r="C2" s="1" t="s">
        <v>202</v>
      </c>
      <c r="D2" s="1">
        <v>2021</v>
      </c>
      <c r="E2" s="1" t="b">
        <v>0</v>
      </c>
      <c r="F2" s="1" t="s">
        <v>1381</v>
      </c>
      <c r="G2" s="1" t="s">
        <v>1380</v>
      </c>
      <c r="H2" s="1" t="s">
        <v>22</v>
      </c>
      <c r="I2" s="1" t="s">
        <v>21</v>
      </c>
      <c r="J2" s="1" t="s">
        <v>20</v>
      </c>
      <c r="K2" s="1">
        <v>307</v>
      </c>
      <c r="L2" s="1" t="s">
        <v>201</v>
      </c>
      <c r="M2" s="1" t="s">
        <v>148</v>
      </c>
      <c r="N2" s="1" t="s">
        <v>200</v>
      </c>
      <c r="O2" s="1" t="s">
        <v>42</v>
      </c>
      <c r="P2" s="1" t="s">
        <v>133</v>
      </c>
      <c r="Q2" s="1" t="s">
        <v>1527</v>
      </c>
      <c r="R2" s="1" t="s">
        <v>35</v>
      </c>
      <c r="S2" s="1" t="s">
        <v>21</v>
      </c>
      <c r="T2" s="1">
        <v>1</v>
      </c>
      <c r="U2" s="1" t="s">
        <v>9</v>
      </c>
      <c r="V2" s="1" t="s">
        <v>9</v>
      </c>
      <c r="W2" s="1">
        <v>0.74</v>
      </c>
      <c r="X2" s="1" t="s">
        <v>198</v>
      </c>
      <c r="Y2" s="1" t="s">
        <v>197</v>
      </c>
      <c r="Z2" s="1" t="s">
        <v>39</v>
      </c>
      <c r="AA2" s="1" t="s">
        <v>1438</v>
      </c>
      <c r="AB2" s="1" t="s">
        <v>1438</v>
      </c>
      <c r="AC2" s="1" t="s">
        <v>41</v>
      </c>
      <c r="AD2" s="1" t="s">
        <v>53</v>
      </c>
      <c r="AE2" s="1" t="s">
        <v>8</v>
      </c>
      <c r="AF2" s="1" t="s">
        <v>196</v>
      </c>
      <c r="AG2" s="1" t="s">
        <v>195</v>
      </c>
      <c r="AH2" s="1" t="s">
        <v>26</v>
      </c>
      <c r="AI2" s="1" t="s">
        <v>36</v>
      </c>
      <c r="AJ2" s="1" t="s">
        <v>3</v>
      </c>
      <c r="AK2" s="1"/>
      <c r="AL2" s="1"/>
      <c r="AM2" s="1"/>
      <c r="AN2" s="1"/>
      <c r="AO2" s="1"/>
      <c r="AP2" s="1"/>
      <c r="AQ2" s="1" t="s">
        <v>35</v>
      </c>
      <c r="AR2" s="1" t="s">
        <v>1</v>
      </c>
      <c r="AS2" s="1">
        <v>3.15</v>
      </c>
      <c r="AT2" s="1">
        <v>1.19</v>
      </c>
      <c r="AU2" s="1">
        <v>8.39</v>
      </c>
      <c r="AV2" s="1" t="s">
        <v>0</v>
      </c>
      <c r="AW2" s="1"/>
      <c r="AX2" s="1"/>
      <c r="AY2" s="1"/>
      <c r="AZ2" s="1" t="s">
        <v>0</v>
      </c>
      <c r="BA2" s="1" t="s">
        <v>1</v>
      </c>
      <c r="BB2" s="1">
        <v>3.15</v>
      </c>
      <c r="BC2" s="1">
        <v>1.19</v>
      </c>
      <c r="BD2" s="1">
        <v>8.34</v>
      </c>
      <c r="BE2" s="1" t="s">
        <v>183</v>
      </c>
      <c r="BF2" s="1" t="s">
        <v>0</v>
      </c>
    </row>
    <row r="3" spans="1:58" x14ac:dyDescent="0.25">
      <c r="A3" s="1" t="s">
        <v>930</v>
      </c>
      <c r="B3" s="1" t="s">
        <v>931</v>
      </c>
      <c r="C3" s="1" t="s">
        <v>932</v>
      </c>
      <c r="D3" s="1">
        <v>2018</v>
      </c>
      <c r="E3" s="1" t="b">
        <v>0</v>
      </c>
      <c r="F3" s="1" t="s">
        <v>1381</v>
      </c>
      <c r="G3" s="1" t="s">
        <v>1381</v>
      </c>
      <c r="H3" s="1" t="s">
        <v>22</v>
      </c>
      <c r="I3" s="1" t="s">
        <v>21</v>
      </c>
      <c r="J3" s="1" t="s">
        <v>20</v>
      </c>
      <c r="K3" s="1">
        <v>259</v>
      </c>
      <c r="L3" s="1" t="s">
        <v>933</v>
      </c>
      <c r="M3" s="1" t="s">
        <v>148</v>
      </c>
      <c r="N3" s="1" t="s">
        <v>454</v>
      </c>
      <c r="O3" s="1" t="s">
        <v>455</v>
      </c>
      <c r="P3" s="1" t="s">
        <v>133</v>
      </c>
      <c r="Q3" s="1" t="s">
        <v>1527</v>
      </c>
      <c r="R3" s="1" t="s">
        <v>2</v>
      </c>
      <c r="S3" s="1" t="s">
        <v>21</v>
      </c>
      <c r="T3" s="1">
        <v>0</v>
      </c>
      <c r="U3" s="1" t="s">
        <v>9</v>
      </c>
      <c r="V3" s="1" t="s">
        <v>9</v>
      </c>
      <c r="W3" s="1" t="s">
        <v>13</v>
      </c>
      <c r="X3" s="1" t="s">
        <v>528</v>
      </c>
      <c r="Y3" s="1" t="s">
        <v>934</v>
      </c>
      <c r="Z3" s="1" t="s">
        <v>39</v>
      </c>
      <c r="AA3" s="1" t="s">
        <v>935</v>
      </c>
      <c r="AB3" s="1" t="s">
        <v>936</v>
      </c>
      <c r="AC3" s="1" t="s">
        <v>14</v>
      </c>
      <c r="AD3" s="1" t="s">
        <v>53</v>
      </c>
      <c r="AE3" s="1" t="s">
        <v>63</v>
      </c>
      <c r="AF3" s="1" t="s">
        <v>640</v>
      </c>
      <c r="AG3" s="1" t="s">
        <v>937</v>
      </c>
      <c r="AH3" s="1" t="s">
        <v>26</v>
      </c>
      <c r="AI3" s="1" t="s">
        <v>36</v>
      </c>
      <c r="AJ3" s="1" t="s">
        <v>0</v>
      </c>
      <c r="AK3" s="1"/>
      <c r="AL3" s="1"/>
      <c r="AM3" s="1"/>
      <c r="AN3" s="1"/>
      <c r="AO3" s="1"/>
      <c r="AP3" s="1"/>
      <c r="AQ3" s="1" t="s">
        <v>2</v>
      </c>
      <c r="AR3" s="1" t="s">
        <v>1</v>
      </c>
      <c r="AS3" s="1">
        <v>0.62</v>
      </c>
      <c r="AT3" s="1">
        <v>0.27</v>
      </c>
      <c r="AU3" s="1">
        <v>1.46</v>
      </c>
      <c r="AV3" s="1" t="s">
        <v>1</v>
      </c>
      <c r="AW3" s="1">
        <v>0.62</v>
      </c>
      <c r="AX3" s="1">
        <v>0.27</v>
      </c>
      <c r="AY3" s="1">
        <v>1.46</v>
      </c>
      <c r="AZ3" s="1" t="s">
        <v>0</v>
      </c>
      <c r="BA3" s="1" t="s">
        <v>0</v>
      </c>
      <c r="BB3" s="1"/>
      <c r="BC3" s="1"/>
      <c r="BD3" s="1"/>
      <c r="BE3" s="1" t="s">
        <v>0</v>
      </c>
      <c r="BF3" s="1" t="s">
        <v>0</v>
      </c>
    </row>
    <row r="4" spans="1:58" x14ac:dyDescent="0.25">
      <c r="A4" s="1" t="s">
        <v>1013</v>
      </c>
      <c r="B4" s="1" t="s">
        <v>1014</v>
      </c>
      <c r="C4" s="1" t="s">
        <v>1015</v>
      </c>
      <c r="D4" s="1">
        <v>2018</v>
      </c>
      <c r="E4" s="1" t="b">
        <v>0</v>
      </c>
      <c r="F4" s="1" t="s">
        <v>1381</v>
      </c>
      <c r="G4" s="1" t="s">
        <v>1380</v>
      </c>
      <c r="H4" s="1" t="s">
        <v>22</v>
      </c>
      <c r="I4" s="1" t="s">
        <v>21</v>
      </c>
      <c r="J4" s="1" t="s">
        <v>20</v>
      </c>
      <c r="K4" s="1" t="s">
        <v>1016</v>
      </c>
      <c r="L4" s="1" t="s">
        <v>1016</v>
      </c>
      <c r="M4" s="1" t="s">
        <v>18</v>
      </c>
      <c r="N4" s="1" t="s">
        <v>17</v>
      </c>
      <c r="O4" s="1" t="s">
        <v>42</v>
      </c>
      <c r="P4" s="1" t="s">
        <v>15</v>
      </c>
      <c r="Q4" s="1" t="s">
        <v>1526</v>
      </c>
      <c r="R4" s="1" t="s">
        <v>2</v>
      </c>
      <c r="S4" s="1" t="s">
        <v>21</v>
      </c>
      <c r="T4" s="1">
        <v>1</v>
      </c>
      <c r="U4" s="1" t="s">
        <v>9</v>
      </c>
      <c r="V4" s="1" t="s">
        <v>9</v>
      </c>
      <c r="W4" s="1" t="s">
        <v>13</v>
      </c>
      <c r="X4" s="1" t="s">
        <v>0</v>
      </c>
      <c r="Y4" s="1" t="s">
        <v>0</v>
      </c>
      <c r="Z4" s="1" t="s">
        <v>513</v>
      </c>
      <c r="AA4" s="1" t="s">
        <v>1024</v>
      </c>
      <c r="AB4" s="1" t="s">
        <v>1028</v>
      </c>
      <c r="AC4" s="1" t="s">
        <v>9</v>
      </c>
      <c r="AD4" s="1" t="s">
        <v>9</v>
      </c>
      <c r="AE4" s="1" t="s">
        <v>8</v>
      </c>
      <c r="AF4" s="1" t="s">
        <v>87</v>
      </c>
      <c r="AG4" s="1" t="s">
        <v>778</v>
      </c>
      <c r="AH4" s="1" t="s">
        <v>26</v>
      </c>
      <c r="AI4" s="1" t="s">
        <v>36</v>
      </c>
      <c r="AJ4" s="1" t="s">
        <v>1019</v>
      </c>
      <c r="AK4" s="1"/>
      <c r="AL4" s="1"/>
      <c r="AM4" s="1"/>
      <c r="AN4" s="1"/>
      <c r="AO4" s="1"/>
      <c r="AP4" s="1"/>
      <c r="AQ4" s="1" t="s">
        <v>2</v>
      </c>
      <c r="AR4" s="1" t="s">
        <v>1</v>
      </c>
      <c r="AS4" s="1">
        <v>2.86</v>
      </c>
      <c r="AT4" s="1">
        <v>0.95</v>
      </c>
      <c r="AU4" s="1">
        <v>8.64</v>
      </c>
      <c r="AV4" s="1" t="s">
        <v>1</v>
      </c>
      <c r="AW4" s="1">
        <v>2.86</v>
      </c>
      <c r="AX4" s="1">
        <v>0.95</v>
      </c>
      <c r="AY4" s="1">
        <v>8.64</v>
      </c>
      <c r="AZ4" s="1" t="s">
        <v>1029</v>
      </c>
      <c r="BA4" s="1" t="s">
        <v>0</v>
      </c>
      <c r="BB4" s="1"/>
      <c r="BC4" s="1"/>
      <c r="BD4" s="1"/>
      <c r="BE4" s="1" t="s">
        <v>0</v>
      </c>
      <c r="BF4" s="1" t="s">
        <v>0</v>
      </c>
    </row>
    <row r="5" spans="1:58" x14ac:dyDescent="0.25">
      <c r="A5" s="1" t="s">
        <v>1013</v>
      </c>
      <c r="B5" s="1" t="s">
        <v>1014</v>
      </c>
      <c r="C5" s="1" t="s">
        <v>1015</v>
      </c>
      <c r="D5" s="1">
        <v>2018</v>
      </c>
      <c r="E5" s="1" t="b">
        <v>0</v>
      </c>
      <c r="F5" s="1" t="s">
        <v>1381</v>
      </c>
      <c r="G5" s="1" t="s">
        <v>1380</v>
      </c>
      <c r="H5" s="1" t="s">
        <v>22</v>
      </c>
      <c r="I5" s="1" t="s">
        <v>21</v>
      </c>
      <c r="J5" s="1" t="s">
        <v>20</v>
      </c>
      <c r="K5" s="1" t="s">
        <v>1016</v>
      </c>
      <c r="L5" s="1" t="s">
        <v>1016</v>
      </c>
      <c r="M5" s="1" t="s">
        <v>18</v>
      </c>
      <c r="N5" s="1" t="s">
        <v>17</v>
      </c>
      <c r="O5" s="1" t="s">
        <v>42</v>
      </c>
      <c r="P5" s="1" t="s">
        <v>15</v>
      </c>
      <c r="Q5" s="1" t="s">
        <v>1526</v>
      </c>
      <c r="R5" s="1" t="s">
        <v>2</v>
      </c>
      <c r="S5" s="1" t="s">
        <v>21</v>
      </c>
      <c r="T5" s="1">
        <v>1</v>
      </c>
      <c r="U5" s="1" t="s">
        <v>9</v>
      </c>
      <c r="V5" s="1" t="s">
        <v>9</v>
      </c>
      <c r="W5" s="1" t="s">
        <v>13</v>
      </c>
      <c r="X5" s="1" t="s">
        <v>0</v>
      </c>
      <c r="Y5" s="1" t="s">
        <v>0</v>
      </c>
      <c r="Z5" s="1" t="s">
        <v>80</v>
      </c>
      <c r="AA5" s="1" t="s">
        <v>1017</v>
      </c>
      <c r="AB5" s="1" t="s">
        <v>80</v>
      </c>
      <c r="AC5" s="1" t="s">
        <v>9</v>
      </c>
      <c r="AD5" s="1" t="s">
        <v>9</v>
      </c>
      <c r="AE5" s="1" t="s">
        <v>160</v>
      </c>
      <c r="AF5" s="1" t="s">
        <v>477</v>
      </c>
      <c r="AG5" s="1" t="s">
        <v>1021</v>
      </c>
      <c r="AH5" s="1" t="s">
        <v>26</v>
      </c>
      <c r="AI5" s="1" t="s">
        <v>36</v>
      </c>
      <c r="AJ5" s="1" t="s">
        <v>1019</v>
      </c>
      <c r="AK5" s="1"/>
      <c r="AL5" s="1"/>
      <c r="AM5" s="1"/>
      <c r="AN5" s="1"/>
      <c r="AO5" s="1"/>
      <c r="AP5" s="1"/>
      <c r="AQ5" s="1" t="s">
        <v>2</v>
      </c>
      <c r="AR5" s="1" t="s">
        <v>1</v>
      </c>
      <c r="AS5" s="1">
        <v>1.1599999999999999</v>
      </c>
      <c r="AT5" s="1">
        <v>0.47</v>
      </c>
      <c r="AU5" s="1">
        <v>2.87</v>
      </c>
      <c r="AV5" s="1" t="s">
        <v>1</v>
      </c>
      <c r="AW5" s="1">
        <v>1.1599999999999999</v>
      </c>
      <c r="AX5" s="1">
        <v>0.47</v>
      </c>
      <c r="AY5" s="1">
        <v>2.87</v>
      </c>
      <c r="AZ5" s="1" t="s">
        <v>199</v>
      </c>
      <c r="BA5" s="1" t="s">
        <v>0</v>
      </c>
      <c r="BB5" s="1"/>
      <c r="BC5" s="1"/>
      <c r="BD5" s="1"/>
      <c r="BE5" s="1" t="s">
        <v>0</v>
      </c>
      <c r="BF5" s="1" t="s">
        <v>0</v>
      </c>
    </row>
    <row r="6" spans="1:58" x14ac:dyDescent="0.25">
      <c r="A6" s="1" t="s">
        <v>1013</v>
      </c>
      <c r="B6" s="1" t="s">
        <v>1014</v>
      </c>
      <c r="C6" s="1" t="s">
        <v>1015</v>
      </c>
      <c r="D6" s="1">
        <v>2018</v>
      </c>
      <c r="E6" s="1" t="b">
        <v>0</v>
      </c>
      <c r="F6" s="1" t="s">
        <v>1381</v>
      </c>
      <c r="G6" s="1" t="s">
        <v>1380</v>
      </c>
      <c r="H6" s="1" t="s">
        <v>22</v>
      </c>
      <c r="I6" s="1" t="s">
        <v>21</v>
      </c>
      <c r="J6" s="1" t="s">
        <v>20</v>
      </c>
      <c r="K6" s="1" t="s">
        <v>1016</v>
      </c>
      <c r="L6" s="1" t="s">
        <v>1016</v>
      </c>
      <c r="M6" s="1" t="s">
        <v>18</v>
      </c>
      <c r="N6" s="1" t="s">
        <v>17</v>
      </c>
      <c r="O6" s="1" t="s">
        <v>42</v>
      </c>
      <c r="P6" s="1" t="s">
        <v>15</v>
      </c>
      <c r="Q6" s="1" t="s">
        <v>1526</v>
      </c>
      <c r="R6" s="1" t="s">
        <v>2</v>
      </c>
      <c r="S6" s="1" t="s">
        <v>21</v>
      </c>
      <c r="T6" s="1">
        <v>1</v>
      </c>
      <c r="U6" s="1" t="s">
        <v>9</v>
      </c>
      <c r="V6" s="1" t="s">
        <v>9</v>
      </c>
      <c r="W6" s="1" t="s">
        <v>13</v>
      </c>
      <c r="X6" s="1" t="s">
        <v>0</v>
      </c>
      <c r="Y6" s="1" t="s">
        <v>0</v>
      </c>
      <c r="Z6" s="1" t="s">
        <v>11</v>
      </c>
      <c r="AA6" s="1" t="s">
        <v>1022</v>
      </c>
      <c r="AB6" s="1" t="s">
        <v>11</v>
      </c>
      <c r="AC6" s="1" t="s">
        <v>9</v>
      </c>
      <c r="AD6" s="1" t="s">
        <v>9</v>
      </c>
      <c r="AE6" s="1" t="s">
        <v>160</v>
      </c>
      <c r="AF6" s="1" t="s">
        <v>32</v>
      </c>
      <c r="AG6" s="1" t="s">
        <v>1026</v>
      </c>
      <c r="AH6" s="1" t="s">
        <v>26</v>
      </c>
      <c r="AI6" s="1" t="s">
        <v>36</v>
      </c>
      <c r="AJ6" s="1" t="s">
        <v>1019</v>
      </c>
      <c r="AK6" s="1"/>
      <c r="AL6" s="1"/>
      <c r="AM6" s="1"/>
      <c r="AN6" s="1"/>
      <c r="AO6" s="1"/>
      <c r="AP6" s="1"/>
      <c r="AQ6" s="1" t="s">
        <v>35</v>
      </c>
      <c r="AR6" s="1" t="s">
        <v>1</v>
      </c>
      <c r="AS6" s="1">
        <v>3.94</v>
      </c>
      <c r="AT6" s="1">
        <v>1.22</v>
      </c>
      <c r="AU6" s="1">
        <v>12.66</v>
      </c>
      <c r="AV6" s="1" t="s">
        <v>1</v>
      </c>
      <c r="AW6" s="1">
        <v>3.33</v>
      </c>
      <c r="AX6" s="1">
        <v>1.1100000000000001</v>
      </c>
      <c r="AY6" s="1">
        <v>10.029999999999999</v>
      </c>
      <c r="AZ6" s="1" t="s">
        <v>1027</v>
      </c>
      <c r="BA6" s="1" t="s">
        <v>1</v>
      </c>
      <c r="BB6" s="1">
        <v>3.94</v>
      </c>
      <c r="BC6" s="1">
        <v>1.22</v>
      </c>
      <c r="BD6" s="1">
        <v>12.66</v>
      </c>
      <c r="BE6" s="1" t="s">
        <v>770</v>
      </c>
      <c r="BF6" s="1" t="s">
        <v>0</v>
      </c>
    </row>
    <row r="7" spans="1:58" x14ac:dyDescent="0.25">
      <c r="A7" s="1" t="s">
        <v>1013</v>
      </c>
      <c r="B7" s="1" t="s">
        <v>1014</v>
      </c>
      <c r="C7" s="1" t="s">
        <v>1015</v>
      </c>
      <c r="D7" s="1">
        <v>2018</v>
      </c>
      <c r="E7" s="1" t="b">
        <v>0</v>
      </c>
      <c r="F7" s="1" t="s">
        <v>1381</v>
      </c>
      <c r="G7" s="1" t="s">
        <v>1380</v>
      </c>
      <c r="H7" s="1" t="s">
        <v>22</v>
      </c>
      <c r="I7" s="1" t="s">
        <v>21</v>
      </c>
      <c r="J7" s="1" t="s">
        <v>20</v>
      </c>
      <c r="K7" s="1" t="s">
        <v>1016</v>
      </c>
      <c r="L7" s="1" t="s">
        <v>1016</v>
      </c>
      <c r="M7" s="1" t="s">
        <v>18</v>
      </c>
      <c r="N7" s="1" t="s">
        <v>17</v>
      </c>
      <c r="O7" s="1" t="s">
        <v>42</v>
      </c>
      <c r="P7" s="1" t="s">
        <v>15</v>
      </c>
      <c r="Q7" s="1" t="s">
        <v>1526</v>
      </c>
      <c r="R7" s="1" t="s">
        <v>2</v>
      </c>
      <c r="S7" s="1" t="s">
        <v>21</v>
      </c>
      <c r="T7" s="1">
        <v>1</v>
      </c>
      <c r="U7" s="1" t="s">
        <v>9</v>
      </c>
      <c r="V7" s="1" t="s">
        <v>9</v>
      </c>
      <c r="W7" s="1" t="s">
        <v>13</v>
      </c>
      <c r="X7" s="1" t="s">
        <v>0</v>
      </c>
      <c r="Y7" s="1" t="s">
        <v>0</v>
      </c>
      <c r="Z7" s="1" t="s">
        <v>513</v>
      </c>
      <c r="AA7" s="1" t="s">
        <v>1024</v>
      </c>
      <c r="AB7" s="1" t="s">
        <v>1024</v>
      </c>
      <c r="AC7" s="1" t="s">
        <v>41</v>
      </c>
      <c r="AD7" s="1" t="s">
        <v>53</v>
      </c>
      <c r="AE7" s="1" t="s">
        <v>160</v>
      </c>
      <c r="AF7" s="1" t="s">
        <v>280</v>
      </c>
      <c r="AG7" s="1" t="s">
        <v>1025</v>
      </c>
      <c r="AH7" s="1" t="s">
        <v>26</v>
      </c>
      <c r="AI7" s="1" t="s">
        <v>36</v>
      </c>
      <c r="AJ7" s="1" t="s">
        <v>1019</v>
      </c>
      <c r="AK7" s="1"/>
      <c r="AL7" s="1"/>
      <c r="AM7" s="1"/>
      <c r="AN7" s="1"/>
      <c r="AO7" s="1"/>
      <c r="AP7" s="1"/>
      <c r="AQ7" s="1" t="s">
        <v>2</v>
      </c>
      <c r="AR7" s="1" t="s">
        <v>1</v>
      </c>
      <c r="AS7" s="1">
        <v>1.81</v>
      </c>
      <c r="AT7" s="1">
        <v>0.7</v>
      </c>
      <c r="AU7" s="1">
        <v>4.6500000000000004</v>
      </c>
      <c r="AV7" s="1" t="s">
        <v>1</v>
      </c>
      <c r="AW7" s="1">
        <v>1.81</v>
      </c>
      <c r="AX7" s="1">
        <v>0.7</v>
      </c>
      <c r="AY7" s="1">
        <v>4.6500000000000004</v>
      </c>
      <c r="AZ7" s="1" t="s">
        <v>351</v>
      </c>
      <c r="BA7" s="1" t="s">
        <v>0</v>
      </c>
      <c r="BB7" s="1"/>
      <c r="BC7" s="1"/>
      <c r="BD7" s="1"/>
      <c r="BE7" s="1" t="s">
        <v>0</v>
      </c>
      <c r="BF7" s="1" t="s">
        <v>0</v>
      </c>
    </row>
    <row r="8" spans="1:58" x14ac:dyDescent="0.25">
      <c r="A8" s="1" t="s">
        <v>1013</v>
      </c>
      <c r="B8" s="1" t="s">
        <v>1014</v>
      </c>
      <c r="C8" s="1" t="s">
        <v>1015</v>
      </c>
      <c r="D8" s="1">
        <v>2018</v>
      </c>
      <c r="E8" s="1" t="b">
        <v>0</v>
      </c>
      <c r="F8" s="1" t="s">
        <v>1381</v>
      </c>
      <c r="G8" s="1" t="s">
        <v>1380</v>
      </c>
      <c r="H8" s="1" t="s">
        <v>22</v>
      </c>
      <c r="I8" s="1" t="s">
        <v>21</v>
      </c>
      <c r="J8" s="1" t="s">
        <v>20</v>
      </c>
      <c r="K8" s="1" t="s">
        <v>1016</v>
      </c>
      <c r="L8" s="1" t="s">
        <v>1016</v>
      </c>
      <c r="M8" s="1" t="s">
        <v>18</v>
      </c>
      <c r="N8" s="1" t="s">
        <v>17</v>
      </c>
      <c r="O8" s="1" t="s">
        <v>42</v>
      </c>
      <c r="P8" s="1" t="s">
        <v>15</v>
      </c>
      <c r="Q8" s="1" t="s">
        <v>1526</v>
      </c>
      <c r="R8" s="1" t="s">
        <v>2</v>
      </c>
      <c r="S8" s="1" t="s">
        <v>21</v>
      </c>
      <c r="T8" s="1">
        <v>1</v>
      </c>
      <c r="U8" s="1" t="s">
        <v>9</v>
      </c>
      <c r="V8" s="1" t="s">
        <v>9</v>
      </c>
      <c r="W8" s="1" t="s">
        <v>13</v>
      </c>
      <c r="X8" s="1" t="s">
        <v>0</v>
      </c>
      <c r="Y8" s="1" t="s">
        <v>0</v>
      </c>
      <c r="Z8" s="1" t="s">
        <v>80</v>
      </c>
      <c r="AA8" s="1" t="s">
        <v>1017</v>
      </c>
      <c r="AB8" s="1" t="s">
        <v>80</v>
      </c>
      <c r="AC8" s="1" t="s">
        <v>41</v>
      </c>
      <c r="AD8" s="1" t="s">
        <v>53</v>
      </c>
      <c r="AE8" s="1" t="s">
        <v>160</v>
      </c>
      <c r="AF8" s="1" t="s">
        <v>1018</v>
      </c>
      <c r="AG8" s="1" t="s">
        <v>669</v>
      </c>
      <c r="AH8" s="1" t="s">
        <v>26</v>
      </c>
      <c r="AI8" s="1" t="s">
        <v>36</v>
      </c>
      <c r="AJ8" s="1" t="s">
        <v>1019</v>
      </c>
      <c r="AK8" s="1"/>
      <c r="AL8" s="1"/>
      <c r="AM8" s="1"/>
      <c r="AN8" s="1"/>
      <c r="AO8" s="1"/>
      <c r="AP8" s="1"/>
      <c r="AQ8" s="1" t="s">
        <v>2</v>
      </c>
      <c r="AR8" s="1" t="s">
        <v>1</v>
      </c>
      <c r="AS8" s="1">
        <v>1.05</v>
      </c>
      <c r="AT8" s="1">
        <v>0.43</v>
      </c>
      <c r="AU8" s="1">
        <v>2.56</v>
      </c>
      <c r="AV8" s="1" t="s">
        <v>1</v>
      </c>
      <c r="AW8" s="1">
        <v>1.05</v>
      </c>
      <c r="AX8" s="1">
        <v>0.43</v>
      </c>
      <c r="AY8" s="1">
        <v>2.56</v>
      </c>
      <c r="AZ8" s="1" t="s">
        <v>1020</v>
      </c>
      <c r="BA8" s="1" t="s">
        <v>0</v>
      </c>
      <c r="BB8" s="1"/>
      <c r="BC8" s="1"/>
      <c r="BD8" s="1"/>
      <c r="BE8" s="1" t="s">
        <v>0</v>
      </c>
      <c r="BF8" s="1" t="s">
        <v>0</v>
      </c>
    </row>
    <row r="9" spans="1:58" x14ac:dyDescent="0.25">
      <c r="A9" s="1" t="s">
        <v>1013</v>
      </c>
      <c r="B9" s="1" t="s">
        <v>1014</v>
      </c>
      <c r="C9" s="1" t="s">
        <v>1015</v>
      </c>
      <c r="D9" s="1">
        <v>2018</v>
      </c>
      <c r="E9" s="1" t="b">
        <v>0</v>
      </c>
      <c r="F9" s="1" t="s">
        <v>1381</v>
      </c>
      <c r="G9" s="1" t="s">
        <v>1380</v>
      </c>
      <c r="H9" s="1" t="s">
        <v>22</v>
      </c>
      <c r="I9" s="1" t="s">
        <v>21</v>
      </c>
      <c r="J9" s="1" t="s">
        <v>20</v>
      </c>
      <c r="K9" s="1" t="s">
        <v>1016</v>
      </c>
      <c r="L9" s="1" t="s">
        <v>1016</v>
      </c>
      <c r="M9" s="1" t="s">
        <v>18</v>
      </c>
      <c r="N9" s="1" t="s">
        <v>17</v>
      </c>
      <c r="O9" s="1" t="s">
        <v>42</v>
      </c>
      <c r="P9" s="1" t="s">
        <v>15</v>
      </c>
      <c r="Q9" s="1" t="s">
        <v>1526</v>
      </c>
      <c r="R9" s="1" t="s">
        <v>35</v>
      </c>
      <c r="S9" s="1" t="s">
        <v>21</v>
      </c>
      <c r="T9" s="1">
        <v>2</v>
      </c>
      <c r="U9" s="1" t="s">
        <v>9</v>
      </c>
      <c r="V9" s="1" t="s">
        <v>9</v>
      </c>
      <c r="W9" s="1" t="s">
        <v>13</v>
      </c>
      <c r="X9" s="1" t="s">
        <v>0</v>
      </c>
      <c r="Y9" s="1" t="s">
        <v>0</v>
      </c>
      <c r="Z9" s="1" t="s">
        <v>11</v>
      </c>
      <c r="AA9" s="1" t="s">
        <v>1022</v>
      </c>
      <c r="AB9" s="1" t="s">
        <v>11</v>
      </c>
      <c r="AC9" s="1" t="s">
        <v>41</v>
      </c>
      <c r="AD9" s="1" t="s">
        <v>53</v>
      </c>
      <c r="AE9" s="1" t="s">
        <v>160</v>
      </c>
      <c r="AF9" s="1" t="s">
        <v>991</v>
      </c>
      <c r="AG9" s="1" t="s">
        <v>1023</v>
      </c>
      <c r="AH9" s="1" t="s">
        <v>26</v>
      </c>
      <c r="AI9" s="1" t="s">
        <v>36</v>
      </c>
      <c r="AJ9" s="1" t="s">
        <v>1019</v>
      </c>
      <c r="AK9" s="1"/>
      <c r="AL9" s="1"/>
      <c r="AM9" s="1"/>
      <c r="AN9" s="1"/>
      <c r="AO9" s="1"/>
      <c r="AP9" s="1"/>
      <c r="AQ9" s="1" t="s">
        <v>2</v>
      </c>
      <c r="AR9" s="1" t="s">
        <v>1</v>
      </c>
      <c r="AS9" s="1">
        <v>1.67</v>
      </c>
      <c r="AT9" s="1">
        <v>0.66</v>
      </c>
      <c r="AU9" s="1">
        <v>4.21</v>
      </c>
      <c r="AV9" s="1" t="s">
        <v>1</v>
      </c>
      <c r="AW9" s="1">
        <v>1.67</v>
      </c>
      <c r="AX9" s="1">
        <v>0.66</v>
      </c>
      <c r="AY9" s="1">
        <v>4.21</v>
      </c>
      <c r="AZ9" s="1" t="s">
        <v>662</v>
      </c>
      <c r="BA9" s="1" t="s">
        <v>0</v>
      </c>
      <c r="BB9" s="1"/>
      <c r="BC9" s="1"/>
      <c r="BD9" s="1"/>
      <c r="BE9" s="1" t="s">
        <v>0</v>
      </c>
      <c r="BF9" s="1" t="s">
        <v>0</v>
      </c>
    </row>
    <row r="10" spans="1:58" x14ac:dyDescent="0.25">
      <c r="A10" s="1" t="s">
        <v>462</v>
      </c>
      <c r="B10" s="1" t="s">
        <v>463</v>
      </c>
      <c r="C10" s="1" t="s">
        <v>464</v>
      </c>
      <c r="D10" s="1">
        <v>2021</v>
      </c>
      <c r="E10" s="1" t="b">
        <v>0</v>
      </c>
      <c r="F10" s="1" t="s">
        <v>1381</v>
      </c>
      <c r="G10" s="1" t="s">
        <v>1380</v>
      </c>
      <c r="H10" s="1" t="s">
        <v>22</v>
      </c>
      <c r="I10" s="1" t="s">
        <v>21</v>
      </c>
      <c r="J10" s="1" t="s">
        <v>20</v>
      </c>
      <c r="K10" s="1">
        <v>5660</v>
      </c>
      <c r="L10" s="1" t="s">
        <v>465</v>
      </c>
      <c r="M10" s="1" t="s">
        <v>278</v>
      </c>
      <c r="N10" s="1" t="s">
        <v>466</v>
      </c>
      <c r="O10" s="1" t="s">
        <v>42</v>
      </c>
      <c r="P10" s="1" t="s">
        <v>467</v>
      </c>
      <c r="Q10" s="1" t="s">
        <v>1526</v>
      </c>
      <c r="R10" s="1" t="s">
        <v>2</v>
      </c>
      <c r="S10" s="1" t="s">
        <v>21</v>
      </c>
      <c r="T10" s="1">
        <v>1</v>
      </c>
      <c r="U10" s="1" t="s">
        <v>0</v>
      </c>
      <c r="V10" s="1" t="s">
        <v>34</v>
      </c>
      <c r="W10" s="1" t="s">
        <v>13</v>
      </c>
      <c r="X10" s="1" t="s">
        <v>468</v>
      </c>
      <c r="Y10" s="1">
        <v>2.138E-2</v>
      </c>
      <c r="Z10" s="1" t="s">
        <v>39</v>
      </c>
      <c r="AA10" s="1" t="s">
        <v>469</v>
      </c>
      <c r="AB10" s="1" t="s">
        <v>469</v>
      </c>
      <c r="AC10" s="1" t="s">
        <v>41</v>
      </c>
      <c r="AD10" s="1" t="s">
        <v>53</v>
      </c>
      <c r="AE10" s="1" t="s">
        <v>8</v>
      </c>
      <c r="AF10" s="1" t="s">
        <v>0</v>
      </c>
      <c r="AG10" s="1" t="s">
        <v>0</v>
      </c>
      <c r="AH10" s="1" t="s">
        <v>26</v>
      </c>
      <c r="AI10" s="1" t="s">
        <v>36</v>
      </c>
      <c r="AJ10" s="1" t="s">
        <v>470</v>
      </c>
      <c r="AK10" s="1"/>
      <c r="AL10" s="1"/>
      <c r="AM10" s="1"/>
      <c r="AN10" s="1"/>
      <c r="AO10" s="1"/>
      <c r="AP10" s="1"/>
      <c r="AQ10" s="1" t="s">
        <v>2</v>
      </c>
      <c r="AR10" s="1" t="s">
        <v>1</v>
      </c>
      <c r="AS10" s="1">
        <v>1.1000000000000001</v>
      </c>
      <c r="AT10" s="1">
        <v>0.7</v>
      </c>
      <c r="AU10" s="1">
        <v>1.5</v>
      </c>
      <c r="AV10" s="1" t="s">
        <v>1</v>
      </c>
      <c r="AW10" s="1">
        <v>1.1000000000000001</v>
      </c>
      <c r="AX10" s="1">
        <v>0.7</v>
      </c>
      <c r="AY10" s="1">
        <v>1.5</v>
      </c>
      <c r="AZ10" s="1" t="s">
        <v>0</v>
      </c>
      <c r="BA10" s="1" t="s">
        <v>0</v>
      </c>
      <c r="BB10" s="1"/>
      <c r="BC10" s="1"/>
      <c r="BD10" s="1"/>
      <c r="BE10" s="1" t="s">
        <v>0</v>
      </c>
      <c r="BF10" s="1" t="s">
        <v>0</v>
      </c>
    </row>
    <row r="11" spans="1:58" x14ac:dyDescent="0.25">
      <c r="A11" s="1" t="s">
        <v>1117</v>
      </c>
      <c r="B11" s="1" t="s">
        <v>1118</v>
      </c>
      <c r="C11" s="1" t="s">
        <v>1119</v>
      </c>
      <c r="D11" s="1">
        <v>2015</v>
      </c>
      <c r="E11" s="1" t="b">
        <v>1</v>
      </c>
      <c r="F11" s="1" t="s">
        <v>1380</v>
      </c>
      <c r="G11" s="1" t="s">
        <v>1380</v>
      </c>
      <c r="H11" s="1" t="s">
        <v>22</v>
      </c>
      <c r="I11" s="1" t="s">
        <v>21</v>
      </c>
      <c r="J11" s="1" t="s">
        <v>20</v>
      </c>
      <c r="K11" s="1">
        <v>523</v>
      </c>
      <c r="L11" s="1">
        <v>203</v>
      </c>
      <c r="M11" s="1" t="s">
        <v>18</v>
      </c>
      <c r="N11" s="1" t="s">
        <v>658</v>
      </c>
      <c r="O11" s="1" t="s">
        <v>1120</v>
      </c>
      <c r="P11" s="1" t="s">
        <v>258</v>
      </c>
      <c r="Q11" s="1" t="s">
        <v>1526</v>
      </c>
      <c r="R11" s="1" t="s">
        <v>35</v>
      </c>
      <c r="S11" s="1" t="s">
        <v>21</v>
      </c>
      <c r="T11" s="1">
        <v>2</v>
      </c>
      <c r="U11" s="1" t="s">
        <v>0</v>
      </c>
      <c r="V11" s="1" t="s">
        <v>34</v>
      </c>
      <c r="W11" s="1" t="s">
        <v>13</v>
      </c>
      <c r="X11" s="1">
        <v>14</v>
      </c>
      <c r="Y11" s="1">
        <v>7.0749999999999993E-2</v>
      </c>
      <c r="Z11" s="1" t="s">
        <v>11</v>
      </c>
      <c r="AA11" s="1" t="s">
        <v>1121</v>
      </c>
      <c r="AB11" s="1" t="s">
        <v>578</v>
      </c>
      <c r="AC11" s="1" t="s">
        <v>41</v>
      </c>
      <c r="AD11" s="1" t="s">
        <v>53</v>
      </c>
      <c r="AE11" s="1" t="s">
        <v>8</v>
      </c>
      <c r="AF11" s="1">
        <v>74</v>
      </c>
      <c r="AG11" s="1">
        <f>74/(74 + 449)</f>
        <v>0.14149139579349904</v>
      </c>
      <c r="AH11" s="1" t="s">
        <v>26</v>
      </c>
      <c r="AI11" s="1" t="s">
        <v>36</v>
      </c>
      <c r="AJ11" s="1" t="s">
        <v>36</v>
      </c>
      <c r="AK11" s="1"/>
      <c r="AL11" s="1"/>
      <c r="AM11" s="1"/>
      <c r="AN11" s="1"/>
      <c r="AO11" s="1"/>
      <c r="AP11" s="1"/>
      <c r="AQ11" s="1" t="s">
        <v>35</v>
      </c>
      <c r="AR11" s="1" t="s">
        <v>1</v>
      </c>
      <c r="AS11" s="1">
        <v>3.42</v>
      </c>
      <c r="AT11" s="1">
        <v>1.06</v>
      </c>
      <c r="AU11" s="1">
        <v>11.06</v>
      </c>
      <c r="AV11" s="1">
        <v>0.04</v>
      </c>
      <c r="AW11" s="1">
        <v>3.48</v>
      </c>
      <c r="AX11" s="1">
        <v>1.08</v>
      </c>
      <c r="AY11" s="1">
        <v>11.21</v>
      </c>
      <c r="AZ11" s="1">
        <v>3.5999999999999997E-2</v>
      </c>
      <c r="BA11" s="1" t="s">
        <v>1</v>
      </c>
      <c r="BB11" s="1">
        <v>3.42</v>
      </c>
      <c r="BC11" s="1">
        <v>1.06</v>
      </c>
      <c r="BD11" s="1">
        <v>11.06</v>
      </c>
      <c r="BE11" s="1">
        <v>0.04</v>
      </c>
      <c r="BF11" s="1" t="s">
        <v>1122</v>
      </c>
    </row>
    <row r="12" spans="1:58" x14ac:dyDescent="0.25">
      <c r="A12" s="1" t="s">
        <v>399</v>
      </c>
      <c r="B12" s="1" t="s">
        <v>398</v>
      </c>
      <c r="C12" s="1" t="s">
        <v>397</v>
      </c>
      <c r="D12" s="1">
        <v>2022</v>
      </c>
      <c r="E12" s="1" t="b">
        <v>0</v>
      </c>
      <c r="F12" s="1" t="s">
        <v>1381</v>
      </c>
      <c r="G12" s="1" t="s">
        <v>1380</v>
      </c>
      <c r="H12" s="1" t="s">
        <v>22</v>
      </c>
      <c r="I12" s="1" t="s">
        <v>21</v>
      </c>
      <c r="J12" s="1" t="s">
        <v>20</v>
      </c>
      <c r="K12" s="1">
        <v>6085</v>
      </c>
      <c r="L12" s="1" t="s">
        <v>396</v>
      </c>
      <c r="M12" s="1" t="s">
        <v>18</v>
      </c>
      <c r="N12" s="1" t="s">
        <v>190</v>
      </c>
      <c r="O12" s="1" t="s">
        <v>42</v>
      </c>
      <c r="P12" s="1" t="s">
        <v>15</v>
      </c>
      <c r="Q12" s="1" t="s">
        <v>1526</v>
      </c>
      <c r="R12" s="1" t="s">
        <v>35</v>
      </c>
      <c r="S12" s="1" t="s">
        <v>21</v>
      </c>
      <c r="T12" s="1">
        <v>2</v>
      </c>
      <c r="U12" s="1" t="s">
        <v>112</v>
      </c>
      <c r="V12" s="1" t="s">
        <v>53</v>
      </c>
      <c r="W12" s="1" t="s">
        <v>13</v>
      </c>
      <c r="X12" s="1" t="s">
        <v>395</v>
      </c>
      <c r="Y12" s="1" t="s">
        <v>394</v>
      </c>
      <c r="Z12" s="1" t="s">
        <v>80</v>
      </c>
      <c r="AA12" s="1" t="s">
        <v>393</v>
      </c>
      <c r="AB12" s="1" t="s">
        <v>80</v>
      </c>
      <c r="AC12" s="1" t="s">
        <v>41</v>
      </c>
      <c r="AD12" s="1" t="s">
        <v>53</v>
      </c>
      <c r="AE12" s="1" t="s">
        <v>8</v>
      </c>
      <c r="AF12" s="1" t="s">
        <v>392</v>
      </c>
      <c r="AG12" s="1">
        <f>1356/(1356+4729)</f>
        <v>0.22284305669679541</v>
      </c>
      <c r="AH12" s="1" t="s">
        <v>26</v>
      </c>
      <c r="AI12" s="1" t="s">
        <v>36</v>
      </c>
      <c r="AJ12" s="1" t="s">
        <v>36</v>
      </c>
      <c r="AK12" s="1"/>
      <c r="AL12" s="1"/>
      <c r="AM12" s="1"/>
      <c r="AN12" s="1"/>
      <c r="AO12" s="1"/>
      <c r="AP12" s="1"/>
      <c r="AQ12" s="1" t="s">
        <v>35</v>
      </c>
      <c r="AR12" s="1" t="s">
        <v>1</v>
      </c>
      <c r="AS12" s="1">
        <v>1</v>
      </c>
      <c r="AT12" s="1">
        <v>0.8</v>
      </c>
      <c r="AU12" s="1">
        <v>1.1000000000000001</v>
      </c>
      <c r="AV12" s="1" t="s">
        <v>1</v>
      </c>
      <c r="AW12" s="1">
        <v>1.06</v>
      </c>
      <c r="AX12" s="1">
        <v>0.91</v>
      </c>
      <c r="AY12" s="1">
        <v>1.24</v>
      </c>
      <c r="AZ12" s="1">
        <v>0.42099999999999999</v>
      </c>
      <c r="BA12" s="1" t="s">
        <v>1</v>
      </c>
      <c r="BB12" s="1">
        <v>1</v>
      </c>
      <c r="BC12" s="1">
        <v>0.8</v>
      </c>
      <c r="BD12" s="1">
        <v>1.1000000000000001</v>
      </c>
      <c r="BE12" s="1" t="s">
        <v>391</v>
      </c>
      <c r="BF12" s="1" t="s">
        <v>390</v>
      </c>
    </row>
    <row r="13" spans="1:58" x14ac:dyDescent="0.25">
      <c r="A13" s="1" t="s">
        <v>389</v>
      </c>
      <c r="B13" s="1" t="s">
        <v>388</v>
      </c>
      <c r="C13" s="1" t="s">
        <v>387</v>
      </c>
      <c r="D13" s="1">
        <v>2013</v>
      </c>
      <c r="E13" s="1" t="b">
        <v>1</v>
      </c>
      <c r="F13" s="1" t="s">
        <v>1380</v>
      </c>
      <c r="G13" s="1" t="s">
        <v>1380</v>
      </c>
      <c r="H13" s="1" t="s">
        <v>22</v>
      </c>
      <c r="I13" s="1" t="s">
        <v>21</v>
      </c>
      <c r="J13" s="1" t="s">
        <v>386</v>
      </c>
      <c r="K13" s="1">
        <v>223</v>
      </c>
      <c r="L13" s="1">
        <v>221</v>
      </c>
      <c r="M13" s="1" t="s">
        <v>148</v>
      </c>
      <c r="N13" s="1" t="s">
        <v>385</v>
      </c>
      <c r="O13" s="1" t="s">
        <v>384</v>
      </c>
      <c r="P13" s="1" t="s">
        <v>15</v>
      </c>
      <c r="Q13" s="1" t="s">
        <v>1527</v>
      </c>
      <c r="R13" s="1" t="s">
        <v>2</v>
      </c>
      <c r="S13" s="1" t="s">
        <v>21</v>
      </c>
      <c r="T13" s="1">
        <v>0</v>
      </c>
      <c r="U13" s="1" t="s">
        <v>112</v>
      </c>
      <c r="V13" s="1" t="s">
        <v>53</v>
      </c>
      <c r="W13" s="1" t="s">
        <v>13</v>
      </c>
      <c r="X13" s="1" t="s">
        <v>383</v>
      </c>
      <c r="Y13" s="1">
        <f>78/221</f>
        <v>0.35294117647058826</v>
      </c>
      <c r="Z13" s="1" t="s">
        <v>39</v>
      </c>
      <c r="AA13" s="1" t="s">
        <v>382</v>
      </c>
      <c r="AB13" s="1" t="s">
        <v>381</v>
      </c>
      <c r="AC13" s="1" t="s">
        <v>67</v>
      </c>
      <c r="AD13" s="1" t="s">
        <v>53</v>
      </c>
      <c r="AE13" s="1" t="s">
        <v>63</v>
      </c>
      <c r="AF13" s="1" t="s">
        <v>380</v>
      </c>
      <c r="AG13" s="1">
        <f>53/(53+169)</f>
        <v>0.23873873873873874</v>
      </c>
      <c r="AH13" s="1" t="s">
        <v>26</v>
      </c>
      <c r="AI13" s="1" t="s">
        <v>36</v>
      </c>
      <c r="AJ13" s="1" t="s">
        <v>36</v>
      </c>
      <c r="AK13" s="1"/>
      <c r="AL13" s="1"/>
      <c r="AM13" s="1"/>
      <c r="AN13" s="1"/>
      <c r="AO13" s="1"/>
      <c r="AP13" s="1"/>
      <c r="AQ13" s="1" t="s">
        <v>2</v>
      </c>
      <c r="AR13" s="1" t="s">
        <v>1</v>
      </c>
      <c r="AS13" s="1">
        <v>1.17</v>
      </c>
      <c r="AT13" s="1">
        <v>0.62</v>
      </c>
      <c r="AU13" s="1">
        <v>2.2200000000000002</v>
      </c>
      <c r="AV13" s="1" t="s">
        <v>1</v>
      </c>
      <c r="AW13" s="1">
        <v>1.17</v>
      </c>
      <c r="AX13" s="1">
        <v>0.62</v>
      </c>
      <c r="AY13" s="1">
        <v>2.2200000000000002</v>
      </c>
      <c r="AZ13" s="1" t="s">
        <v>0</v>
      </c>
      <c r="BA13" s="1" t="s">
        <v>0</v>
      </c>
      <c r="BB13" s="1"/>
      <c r="BC13" s="1"/>
      <c r="BD13" s="1"/>
      <c r="BE13" s="1" t="s">
        <v>0</v>
      </c>
      <c r="BF13" s="1" t="s">
        <v>0</v>
      </c>
    </row>
    <row r="14" spans="1:58" x14ac:dyDescent="0.25">
      <c r="A14" s="1" t="s">
        <v>379</v>
      </c>
      <c r="B14" s="1" t="s">
        <v>378</v>
      </c>
      <c r="C14" s="1" t="s">
        <v>377</v>
      </c>
      <c r="D14" s="1">
        <v>2021</v>
      </c>
      <c r="E14" s="1" t="b">
        <v>0</v>
      </c>
      <c r="F14" s="1" t="s">
        <v>1381</v>
      </c>
      <c r="G14" s="1" t="s">
        <v>1380</v>
      </c>
      <c r="H14" s="1" t="s">
        <v>22</v>
      </c>
      <c r="I14" s="1" t="s">
        <v>21</v>
      </c>
      <c r="J14" s="1" t="s">
        <v>20</v>
      </c>
      <c r="K14" s="1">
        <v>2174</v>
      </c>
      <c r="L14" s="1" t="s">
        <v>376</v>
      </c>
      <c r="M14" s="1" t="s">
        <v>18</v>
      </c>
      <c r="N14" s="1" t="s">
        <v>375</v>
      </c>
      <c r="O14" s="1" t="s">
        <v>42</v>
      </c>
      <c r="P14" s="1" t="s">
        <v>68</v>
      </c>
      <c r="Q14" s="1" t="s">
        <v>1526</v>
      </c>
      <c r="R14" s="1" t="s">
        <v>2</v>
      </c>
      <c r="S14" s="1" t="s">
        <v>21</v>
      </c>
      <c r="T14" s="1">
        <v>1</v>
      </c>
      <c r="U14" s="1" t="s">
        <v>14</v>
      </c>
      <c r="V14" s="1" t="s">
        <v>53</v>
      </c>
      <c r="W14" s="1" t="s">
        <v>13</v>
      </c>
      <c r="X14" s="1">
        <v>64</v>
      </c>
      <c r="Y14" s="1">
        <f>64/2174</f>
        <v>2.9438822447102116E-2</v>
      </c>
      <c r="Z14" s="1" t="s">
        <v>513</v>
      </c>
      <c r="AA14" s="1" t="s">
        <v>1427</v>
      </c>
      <c r="AB14" s="1" t="s">
        <v>1427</v>
      </c>
      <c r="AC14" s="1" t="s">
        <v>41</v>
      </c>
      <c r="AD14" s="1" t="s">
        <v>53</v>
      </c>
      <c r="AE14" s="1" t="s">
        <v>8</v>
      </c>
      <c r="AF14" s="1" t="s">
        <v>374</v>
      </c>
      <c r="AG14" s="1">
        <f>1-0.452</f>
        <v>0.54800000000000004</v>
      </c>
      <c r="AH14" s="1" t="s">
        <v>26</v>
      </c>
      <c r="AI14" s="1" t="s">
        <v>36</v>
      </c>
      <c r="AJ14" s="1" t="s">
        <v>373</v>
      </c>
      <c r="AK14" s="1"/>
      <c r="AL14" s="1"/>
      <c r="AM14" s="1"/>
      <c r="AN14" s="1"/>
      <c r="AO14" s="1"/>
      <c r="AP14" s="1"/>
      <c r="AQ14" s="1" t="s">
        <v>2</v>
      </c>
      <c r="AR14" s="1" t="s">
        <v>1</v>
      </c>
      <c r="AS14" s="1">
        <v>0.61</v>
      </c>
      <c r="AT14" s="1">
        <v>0.37</v>
      </c>
      <c r="AU14" s="1">
        <v>1</v>
      </c>
      <c r="AV14" s="1" t="s">
        <v>1</v>
      </c>
      <c r="AW14" s="1">
        <v>0.61</v>
      </c>
      <c r="AX14" s="1">
        <v>0.37</v>
      </c>
      <c r="AY14" s="1">
        <v>1</v>
      </c>
      <c r="AZ14" s="1">
        <v>5.1999999999999998E-2</v>
      </c>
      <c r="BA14" s="1" t="s">
        <v>0</v>
      </c>
      <c r="BB14" s="1"/>
      <c r="BC14" s="1"/>
      <c r="BD14" s="1"/>
      <c r="BE14" s="1" t="s">
        <v>0</v>
      </c>
      <c r="BF14" s="1" t="s">
        <v>0</v>
      </c>
    </row>
    <row r="15" spans="1:58" x14ac:dyDescent="0.25">
      <c r="A15" s="1" t="s">
        <v>372</v>
      </c>
      <c r="B15" s="1" t="s">
        <v>371</v>
      </c>
      <c r="C15" s="1" t="s">
        <v>370</v>
      </c>
      <c r="D15" s="1">
        <v>2014</v>
      </c>
      <c r="E15" s="1" t="b">
        <v>1</v>
      </c>
      <c r="F15" s="1" t="s">
        <v>1380</v>
      </c>
      <c r="G15" s="1" t="s">
        <v>1380</v>
      </c>
      <c r="H15" s="1" t="s">
        <v>22</v>
      </c>
      <c r="I15" s="1" t="s">
        <v>21</v>
      </c>
      <c r="J15" s="1" t="s">
        <v>20</v>
      </c>
      <c r="K15" s="1">
        <v>23176</v>
      </c>
      <c r="L15" s="1" t="s">
        <v>369</v>
      </c>
      <c r="M15" s="1" t="s">
        <v>1524</v>
      </c>
      <c r="N15" s="1" t="s">
        <v>259</v>
      </c>
      <c r="O15" s="1" t="s">
        <v>42</v>
      </c>
      <c r="P15" s="1" t="s">
        <v>258</v>
      </c>
      <c r="Q15" s="1" t="s">
        <v>1526</v>
      </c>
      <c r="R15" s="1" t="s">
        <v>35</v>
      </c>
      <c r="S15" s="1" t="s">
        <v>21</v>
      </c>
      <c r="T15" s="1">
        <v>2</v>
      </c>
      <c r="U15" s="1" t="s">
        <v>112</v>
      </c>
      <c r="V15" s="1" t="s">
        <v>53</v>
      </c>
      <c r="W15" s="1" t="s">
        <v>13</v>
      </c>
      <c r="X15" s="1" t="s">
        <v>368</v>
      </c>
      <c r="Y15" s="1" t="s">
        <v>367</v>
      </c>
      <c r="Z15" s="1" t="s">
        <v>39</v>
      </c>
      <c r="AA15" s="1" t="s">
        <v>366</v>
      </c>
      <c r="AB15" s="1" t="s">
        <v>365</v>
      </c>
      <c r="AC15" s="1" t="s">
        <v>9</v>
      </c>
      <c r="AD15" s="1" t="s">
        <v>9</v>
      </c>
      <c r="AE15" s="1" t="s">
        <v>8</v>
      </c>
      <c r="AF15" s="1" t="s">
        <v>364</v>
      </c>
      <c r="AG15" s="1" t="s">
        <v>363</v>
      </c>
      <c r="AH15" s="1" t="s">
        <v>26</v>
      </c>
      <c r="AI15" s="1" t="s">
        <v>36</v>
      </c>
      <c r="AJ15" s="1" t="s">
        <v>36</v>
      </c>
      <c r="AK15" s="1"/>
      <c r="AL15" s="1"/>
      <c r="AM15" s="1"/>
      <c r="AN15" s="1"/>
      <c r="AO15" s="1"/>
      <c r="AP15" s="1"/>
      <c r="AQ15" s="1" t="s">
        <v>35</v>
      </c>
      <c r="AR15" s="1" t="s">
        <v>1</v>
      </c>
      <c r="AS15" s="1">
        <v>1.35</v>
      </c>
      <c r="AT15" s="1">
        <v>1.19</v>
      </c>
      <c r="AU15" s="1">
        <v>1.53</v>
      </c>
      <c r="AV15" s="1" t="s">
        <v>0</v>
      </c>
      <c r="AW15" s="1"/>
      <c r="AX15" s="1"/>
      <c r="AY15" s="1"/>
      <c r="AZ15" s="1" t="s">
        <v>0</v>
      </c>
      <c r="BA15" s="1" t="s">
        <v>1</v>
      </c>
      <c r="BB15" s="1">
        <v>1.35</v>
      </c>
      <c r="BC15" s="1">
        <v>1.19</v>
      </c>
      <c r="BD15" s="1">
        <v>1.53</v>
      </c>
      <c r="BE15" s="1" t="s">
        <v>60</v>
      </c>
      <c r="BF15" s="1" t="s">
        <v>1429</v>
      </c>
    </row>
    <row r="16" spans="1:58" x14ac:dyDescent="0.25">
      <c r="A16" s="1" t="s">
        <v>362</v>
      </c>
      <c r="B16" s="1" t="s">
        <v>361</v>
      </c>
      <c r="C16" s="1" t="s">
        <v>360</v>
      </c>
      <c r="D16" s="1">
        <v>2022</v>
      </c>
      <c r="E16" s="1" t="b">
        <v>0</v>
      </c>
      <c r="F16" s="1" t="s">
        <v>1381</v>
      </c>
      <c r="G16" s="1" t="s">
        <v>1380</v>
      </c>
      <c r="H16" s="1" t="s">
        <v>22</v>
      </c>
      <c r="I16" s="1" t="s">
        <v>21</v>
      </c>
      <c r="J16" s="1" t="s">
        <v>20</v>
      </c>
      <c r="K16" s="1">
        <v>381</v>
      </c>
      <c r="L16" s="1" t="s">
        <v>359</v>
      </c>
      <c r="M16" s="1" t="s">
        <v>278</v>
      </c>
      <c r="N16" s="1" t="s">
        <v>190</v>
      </c>
      <c r="O16" s="1" t="s">
        <v>358</v>
      </c>
      <c r="P16" s="1" t="s">
        <v>15</v>
      </c>
      <c r="Q16" s="1" t="s">
        <v>1526</v>
      </c>
      <c r="R16" s="1" t="s">
        <v>35</v>
      </c>
      <c r="S16" s="1" t="s">
        <v>21</v>
      </c>
      <c r="T16" s="1">
        <v>2</v>
      </c>
      <c r="U16" s="1" t="s">
        <v>145</v>
      </c>
      <c r="V16" s="1" t="s">
        <v>53</v>
      </c>
      <c r="W16" s="1" t="s">
        <v>13</v>
      </c>
      <c r="X16" s="1" t="s">
        <v>357</v>
      </c>
      <c r="Y16" s="1" t="s">
        <v>356</v>
      </c>
      <c r="Z16" s="1" t="s">
        <v>11</v>
      </c>
      <c r="AA16" s="1" t="s">
        <v>355</v>
      </c>
      <c r="AB16" s="1" t="s">
        <v>355</v>
      </c>
      <c r="AC16" s="1" t="s">
        <v>9</v>
      </c>
      <c r="AD16" s="1" t="s">
        <v>9</v>
      </c>
      <c r="AE16" s="1" t="s">
        <v>8</v>
      </c>
      <c r="AF16" s="1" t="s">
        <v>185</v>
      </c>
      <c r="AG16" s="1" t="s">
        <v>354</v>
      </c>
      <c r="AH16" s="1" t="s">
        <v>26</v>
      </c>
      <c r="AI16" s="1" t="s">
        <v>36</v>
      </c>
      <c r="AJ16" s="1" t="s">
        <v>353</v>
      </c>
      <c r="AK16" s="1"/>
      <c r="AL16" s="1"/>
      <c r="AM16" s="1"/>
      <c r="AN16" s="1"/>
      <c r="AO16" s="1"/>
      <c r="AP16" s="1"/>
      <c r="AQ16" s="1" t="s">
        <v>35</v>
      </c>
      <c r="AR16" s="1" t="s">
        <v>1</v>
      </c>
      <c r="AS16" s="1">
        <v>1.59</v>
      </c>
      <c r="AT16" s="1">
        <v>0.76</v>
      </c>
      <c r="AU16" s="1">
        <v>3.33</v>
      </c>
      <c r="AV16" s="1" t="s">
        <v>1</v>
      </c>
      <c r="AW16" s="1">
        <v>1.6</v>
      </c>
      <c r="AX16" s="1">
        <v>0.78</v>
      </c>
      <c r="AY16" s="1">
        <v>3.28</v>
      </c>
      <c r="AZ16" s="1" t="s">
        <v>352</v>
      </c>
      <c r="BA16" s="1" t="s">
        <v>1</v>
      </c>
      <c r="BB16" s="1">
        <v>1.59</v>
      </c>
      <c r="BC16" s="1">
        <v>0.76</v>
      </c>
      <c r="BD16" s="1">
        <v>3.33</v>
      </c>
      <c r="BE16" s="1" t="s">
        <v>351</v>
      </c>
      <c r="BF16" s="1" t="s">
        <v>350</v>
      </c>
    </row>
    <row r="17" spans="1:356" x14ac:dyDescent="0.25">
      <c r="A17" s="1" t="s">
        <v>346</v>
      </c>
      <c r="B17" s="1" t="s">
        <v>345</v>
      </c>
      <c r="C17" s="1" t="s">
        <v>344</v>
      </c>
      <c r="D17" s="1">
        <v>2019</v>
      </c>
      <c r="E17" s="1" t="b">
        <v>0</v>
      </c>
      <c r="F17" s="1" t="s">
        <v>1381</v>
      </c>
      <c r="G17" s="1" t="s">
        <v>1381</v>
      </c>
      <c r="H17" s="1" t="s">
        <v>22</v>
      </c>
      <c r="I17" s="1" t="s">
        <v>21</v>
      </c>
      <c r="J17" s="1" t="s">
        <v>20</v>
      </c>
      <c r="K17" s="1">
        <v>4900</v>
      </c>
      <c r="L17" s="1" t="s">
        <v>343</v>
      </c>
      <c r="M17" s="1" t="s">
        <v>18</v>
      </c>
      <c r="N17" s="1" t="s">
        <v>190</v>
      </c>
      <c r="O17" s="1" t="s">
        <v>42</v>
      </c>
      <c r="P17" s="1" t="s">
        <v>15</v>
      </c>
      <c r="Q17" s="1" t="s">
        <v>1526</v>
      </c>
      <c r="R17" s="1" t="s">
        <v>2</v>
      </c>
      <c r="S17" s="1" t="s">
        <v>21</v>
      </c>
      <c r="T17" s="1">
        <v>1</v>
      </c>
      <c r="U17" s="1" t="s">
        <v>112</v>
      </c>
      <c r="V17" s="1" t="s">
        <v>53</v>
      </c>
      <c r="W17" s="1" t="s">
        <v>13</v>
      </c>
      <c r="X17" s="1" t="s">
        <v>342</v>
      </c>
      <c r="Y17" s="1" t="s">
        <v>215</v>
      </c>
      <c r="Z17" s="1" t="s">
        <v>11</v>
      </c>
      <c r="AA17" s="1" t="s">
        <v>349</v>
      </c>
      <c r="AB17" s="1" t="s">
        <v>349</v>
      </c>
      <c r="AC17" s="1" t="s">
        <v>9</v>
      </c>
      <c r="AD17" s="1" t="s">
        <v>9</v>
      </c>
      <c r="AE17" s="1" t="s">
        <v>340</v>
      </c>
      <c r="AF17" s="1" t="s">
        <v>348</v>
      </c>
      <c r="AG17" s="1" t="s">
        <v>347</v>
      </c>
      <c r="AH17" s="1" t="s">
        <v>26</v>
      </c>
      <c r="AI17" s="1" t="s">
        <v>36</v>
      </c>
      <c r="AJ17" s="1" t="s">
        <v>1430</v>
      </c>
      <c r="AK17" s="1"/>
      <c r="AL17" s="1"/>
      <c r="AM17" s="1"/>
      <c r="AN17" s="1"/>
      <c r="AO17" s="1"/>
      <c r="AP17" s="1"/>
      <c r="AQ17" s="1" t="s">
        <v>2</v>
      </c>
      <c r="AR17" s="1" t="s">
        <v>1</v>
      </c>
      <c r="AS17" s="1">
        <v>0.88</v>
      </c>
      <c r="AT17" s="1">
        <v>0.73</v>
      </c>
      <c r="AU17" s="1">
        <v>1.07</v>
      </c>
      <c r="AV17" s="1" t="s">
        <v>1</v>
      </c>
      <c r="AW17" s="1">
        <v>0.88</v>
      </c>
      <c r="AX17" s="1">
        <v>0.73</v>
      </c>
      <c r="AY17" s="1">
        <v>1.07</v>
      </c>
      <c r="AZ17" s="1" t="s">
        <v>0</v>
      </c>
      <c r="BA17" s="1" t="s">
        <v>0</v>
      </c>
      <c r="BB17" s="1"/>
      <c r="BC17" s="1"/>
      <c r="BD17" s="1"/>
      <c r="BE17" s="1" t="s">
        <v>0</v>
      </c>
      <c r="BF17" s="1" t="s">
        <v>0</v>
      </c>
    </row>
    <row r="18" spans="1:356" x14ac:dyDescent="0.25">
      <c r="A18" s="1" t="s">
        <v>346</v>
      </c>
      <c r="B18" s="1" t="s">
        <v>345</v>
      </c>
      <c r="C18" s="1" t="s">
        <v>344</v>
      </c>
      <c r="D18" s="1">
        <v>2019</v>
      </c>
      <c r="E18" s="1" t="b">
        <v>0</v>
      </c>
      <c r="F18" s="1" t="s">
        <v>1381</v>
      </c>
      <c r="G18" s="1" t="s">
        <v>1381</v>
      </c>
      <c r="H18" s="1" t="s">
        <v>22</v>
      </c>
      <c r="I18" s="1" t="s">
        <v>21</v>
      </c>
      <c r="J18" s="1" t="s">
        <v>20</v>
      </c>
      <c r="K18" s="1">
        <v>4900</v>
      </c>
      <c r="L18" s="1" t="s">
        <v>343</v>
      </c>
      <c r="M18" s="1" t="s">
        <v>18</v>
      </c>
      <c r="N18" s="1" t="s">
        <v>190</v>
      </c>
      <c r="O18" s="1" t="s">
        <v>42</v>
      </c>
      <c r="P18" s="1" t="s">
        <v>15</v>
      </c>
      <c r="Q18" s="1" t="s">
        <v>1526</v>
      </c>
      <c r="R18" s="1" t="s">
        <v>2</v>
      </c>
      <c r="S18" s="1" t="s">
        <v>21</v>
      </c>
      <c r="T18" s="1">
        <v>1</v>
      </c>
      <c r="U18" s="1" t="s">
        <v>112</v>
      </c>
      <c r="V18" s="1" t="s">
        <v>53</v>
      </c>
      <c r="W18" s="1" t="s">
        <v>13</v>
      </c>
      <c r="X18" s="1" t="s">
        <v>342</v>
      </c>
      <c r="Y18" s="1" t="s">
        <v>215</v>
      </c>
      <c r="Z18" s="1" t="s">
        <v>80</v>
      </c>
      <c r="AA18" s="1" t="s">
        <v>317</v>
      </c>
      <c r="AB18" s="1" t="s">
        <v>341</v>
      </c>
      <c r="AC18" s="1" t="s">
        <v>41</v>
      </c>
      <c r="AD18" s="1" t="s">
        <v>53</v>
      </c>
      <c r="AE18" s="1" t="s">
        <v>340</v>
      </c>
      <c r="AF18" s="1" t="s">
        <v>339</v>
      </c>
      <c r="AG18" s="1" t="s">
        <v>338</v>
      </c>
      <c r="AH18" s="1" t="s">
        <v>26</v>
      </c>
      <c r="AI18" s="1" t="s">
        <v>36</v>
      </c>
      <c r="AJ18" s="1" t="s">
        <v>1430</v>
      </c>
      <c r="AK18" s="1"/>
      <c r="AL18" s="1"/>
      <c r="AM18" s="1"/>
      <c r="AN18" s="1"/>
      <c r="AO18" s="1"/>
      <c r="AP18" s="1"/>
      <c r="AQ18" s="1" t="s">
        <v>2</v>
      </c>
      <c r="AR18" s="1" t="s">
        <v>1</v>
      </c>
      <c r="AS18" s="1">
        <v>1.04</v>
      </c>
      <c r="AT18" s="1">
        <v>0.88</v>
      </c>
      <c r="AU18" s="1">
        <v>1.24</v>
      </c>
      <c r="AV18" s="1" t="s">
        <v>1</v>
      </c>
      <c r="AW18" s="1">
        <v>1.04</v>
      </c>
      <c r="AX18" s="1">
        <v>0.88</v>
      </c>
      <c r="AY18" s="1">
        <v>1.24</v>
      </c>
      <c r="AZ18" s="1" t="s">
        <v>0</v>
      </c>
      <c r="BA18" s="1" t="s">
        <v>0</v>
      </c>
      <c r="BB18" s="1"/>
      <c r="BC18" s="1"/>
      <c r="BD18" s="1"/>
      <c r="BE18" s="1" t="s">
        <v>0</v>
      </c>
      <c r="BF18" s="1" t="s">
        <v>0</v>
      </c>
    </row>
    <row r="19" spans="1:356" x14ac:dyDescent="0.25">
      <c r="A19" s="1" t="s">
        <v>333</v>
      </c>
      <c r="B19" s="1" t="s">
        <v>332</v>
      </c>
      <c r="C19" s="1" t="s">
        <v>331</v>
      </c>
      <c r="D19" s="1">
        <v>2022</v>
      </c>
      <c r="E19" s="1" t="b">
        <v>0</v>
      </c>
      <c r="F19" s="1" t="s">
        <v>1381</v>
      </c>
      <c r="G19" s="1" t="s">
        <v>1380</v>
      </c>
      <c r="H19" s="1" t="s">
        <v>22</v>
      </c>
      <c r="I19" s="1" t="s">
        <v>21</v>
      </c>
      <c r="J19" s="1" t="s">
        <v>20</v>
      </c>
      <c r="K19" s="1">
        <v>4900</v>
      </c>
      <c r="L19" s="1" t="s">
        <v>330</v>
      </c>
      <c r="M19" s="1" t="s">
        <v>18</v>
      </c>
      <c r="N19" s="1" t="s">
        <v>190</v>
      </c>
      <c r="O19" s="1" t="s">
        <v>42</v>
      </c>
      <c r="P19" s="1" t="s">
        <v>15</v>
      </c>
      <c r="Q19" s="1" t="s">
        <v>1526</v>
      </c>
      <c r="R19" s="1" t="s">
        <v>35</v>
      </c>
      <c r="S19" s="1" t="s">
        <v>21</v>
      </c>
      <c r="T19" s="1">
        <v>2</v>
      </c>
      <c r="U19" s="1" t="s">
        <v>112</v>
      </c>
      <c r="V19" s="1" t="s">
        <v>53</v>
      </c>
      <c r="W19" s="1" t="s">
        <v>13</v>
      </c>
      <c r="X19" s="1" t="s">
        <v>330</v>
      </c>
      <c r="Y19" s="1" t="s">
        <v>13</v>
      </c>
      <c r="Z19" s="1" t="s">
        <v>11</v>
      </c>
      <c r="AA19" s="1" t="s">
        <v>337</v>
      </c>
      <c r="AB19" s="1" t="s">
        <v>337</v>
      </c>
      <c r="AC19" s="1" t="s">
        <v>9</v>
      </c>
      <c r="AD19" s="1" t="s">
        <v>9</v>
      </c>
      <c r="AE19" s="1" t="s">
        <v>8</v>
      </c>
      <c r="AF19" s="1" t="s">
        <v>336</v>
      </c>
      <c r="AG19" s="1" t="s">
        <v>335</v>
      </c>
      <c r="AH19" s="1" t="s">
        <v>26</v>
      </c>
      <c r="AI19" s="1" t="s">
        <v>5</v>
      </c>
      <c r="AJ19" s="1" t="s">
        <v>327</v>
      </c>
      <c r="AK19" s="1"/>
      <c r="AL19" s="1"/>
      <c r="AM19" s="1"/>
      <c r="AN19" s="1" t="s">
        <v>123</v>
      </c>
      <c r="AO19" s="1"/>
      <c r="AP19" s="1"/>
      <c r="AQ19" s="1" t="s">
        <v>35</v>
      </c>
      <c r="AR19" s="1" t="s">
        <v>1</v>
      </c>
      <c r="AS19" s="1">
        <v>0.35842293906810041</v>
      </c>
      <c r="AT19" s="1">
        <v>0.14000000000000001</v>
      </c>
      <c r="AU19" s="1">
        <v>0.93</v>
      </c>
      <c r="AV19" s="1" t="s">
        <v>1</v>
      </c>
      <c r="AW19" s="1">
        <v>0.33003300330032997</v>
      </c>
      <c r="AX19" s="1">
        <v>0.14000000000000001</v>
      </c>
      <c r="AY19" s="1">
        <v>0.76</v>
      </c>
      <c r="AZ19" s="1" t="s">
        <v>183</v>
      </c>
      <c r="BA19" s="1" t="s">
        <v>1</v>
      </c>
      <c r="BB19" s="1">
        <v>0.35842293906810041</v>
      </c>
      <c r="BC19" s="1">
        <v>0.14000000000000001</v>
      </c>
      <c r="BD19" s="1">
        <v>0.93</v>
      </c>
      <c r="BE19" s="1" t="s">
        <v>183</v>
      </c>
      <c r="BF19" s="1" t="s">
        <v>334</v>
      </c>
    </row>
    <row r="20" spans="1:356" x14ac:dyDescent="0.25">
      <c r="A20" s="1" t="s">
        <v>333</v>
      </c>
      <c r="B20" s="1" t="s">
        <v>332</v>
      </c>
      <c r="C20" s="1" t="s">
        <v>331</v>
      </c>
      <c r="D20" s="1">
        <v>2022</v>
      </c>
      <c r="E20" s="1" t="b">
        <v>0</v>
      </c>
      <c r="F20" s="1" t="s">
        <v>1381</v>
      </c>
      <c r="G20" s="1" t="s">
        <v>1380</v>
      </c>
      <c r="H20" s="1" t="s">
        <v>22</v>
      </c>
      <c r="I20" s="1" t="s">
        <v>21</v>
      </c>
      <c r="J20" s="1" t="s">
        <v>20</v>
      </c>
      <c r="K20" s="1">
        <v>4900</v>
      </c>
      <c r="L20" s="1" t="s">
        <v>330</v>
      </c>
      <c r="M20" s="1" t="s">
        <v>18</v>
      </c>
      <c r="N20" s="1" t="s">
        <v>190</v>
      </c>
      <c r="O20" s="1" t="s">
        <v>42</v>
      </c>
      <c r="P20" s="1" t="s">
        <v>15</v>
      </c>
      <c r="Q20" s="1" t="s">
        <v>1526</v>
      </c>
      <c r="R20" s="1" t="s">
        <v>2</v>
      </c>
      <c r="S20" s="1" t="s">
        <v>21</v>
      </c>
      <c r="T20" s="1">
        <v>1</v>
      </c>
      <c r="U20" s="1" t="s">
        <v>112</v>
      </c>
      <c r="V20" s="1" t="s">
        <v>53</v>
      </c>
      <c r="W20" s="1" t="s">
        <v>13</v>
      </c>
      <c r="X20" s="1" t="s">
        <v>330</v>
      </c>
      <c r="Y20" s="1" t="s">
        <v>13</v>
      </c>
      <c r="Z20" s="1" t="s">
        <v>80</v>
      </c>
      <c r="AA20" s="1" t="s">
        <v>317</v>
      </c>
      <c r="AB20" s="1" t="s">
        <v>317</v>
      </c>
      <c r="AC20" s="1" t="s">
        <v>41</v>
      </c>
      <c r="AD20" s="1" t="s">
        <v>53</v>
      </c>
      <c r="AE20" s="1" t="s">
        <v>8</v>
      </c>
      <c r="AF20" s="1" t="s">
        <v>329</v>
      </c>
      <c r="AG20" s="1" t="s">
        <v>328</v>
      </c>
      <c r="AH20" s="1" t="s">
        <v>26</v>
      </c>
      <c r="AI20" s="1" t="s">
        <v>5</v>
      </c>
      <c r="AJ20" s="1" t="s">
        <v>327</v>
      </c>
      <c r="AK20" s="1"/>
      <c r="AL20" s="1"/>
      <c r="AM20" s="1"/>
      <c r="AN20" s="1" t="s">
        <v>123</v>
      </c>
      <c r="AO20" s="1"/>
      <c r="AP20" s="1"/>
      <c r="AQ20" s="1" t="s">
        <v>2</v>
      </c>
      <c r="AR20" s="1" t="s">
        <v>1</v>
      </c>
      <c r="AS20" s="1">
        <v>0.88495575221238942</v>
      </c>
      <c r="AT20" s="1">
        <v>0.37</v>
      </c>
      <c r="AU20" s="1">
        <v>2.13</v>
      </c>
      <c r="AV20" s="1" t="s">
        <v>1</v>
      </c>
      <c r="AW20" s="1">
        <v>0.88495575221238942</v>
      </c>
      <c r="AX20" s="1">
        <v>0.37</v>
      </c>
      <c r="AY20" s="1">
        <v>2.13</v>
      </c>
      <c r="AZ20" s="1" t="s">
        <v>0</v>
      </c>
      <c r="BA20" s="1" t="s">
        <v>0</v>
      </c>
      <c r="BB20" s="1"/>
      <c r="BC20" s="1"/>
      <c r="BD20" s="1"/>
      <c r="BE20" s="1" t="s">
        <v>0</v>
      </c>
      <c r="BF20" s="1" t="s">
        <v>0</v>
      </c>
    </row>
    <row r="21" spans="1:356" s="2" customFormat="1" x14ac:dyDescent="0.25">
      <c r="A21" s="1" t="s">
        <v>322</v>
      </c>
      <c r="B21" s="1" t="s">
        <v>321</v>
      </c>
      <c r="C21" s="1" t="s">
        <v>320</v>
      </c>
      <c r="D21" s="1">
        <v>2022</v>
      </c>
      <c r="E21" s="1" t="b">
        <v>0</v>
      </c>
      <c r="F21" s="1" t="s">
        <v>1381</v>
      </c>
      <c r="G21" s="1" t="s">
        <v>1380</v>
      </c>
      <c r="H21" s="1" t="s">
        <v>22</v>
      </c>
      <c r="I21" s="1" t="s">
        <v>21</v>
      </c>
      <c r="J21" s="1" t="s">
        <v>20</v>
      </c>
      <c r="K21" s="1" t="s">
        <v>319</v>
      </c>
      <c r="L21" s="1" t="s">
        <v>319</v>
      </c>
      <c r="M21" s="1" t="s">
        <v>278</v>
      </c>
      <c r="N21" s="1" t="s">
        <v>259</v>
      </c>
      <c r="O21" s="1" t="s">
        <v>42</v>
      </c>
      <c r="P21" s="1" t="s">
        <v>258</v>
      </c>
      <c r="Q21" s="1" t="s">
        <v>1526</v>
      </c>
      <c r="R21" s="1" t="s">
        <v>2</v>
      </c>
      <c r="S21" s="1" t="s">
        <v>21</v>
      </c>
      <c r="T21" s="1">
        <v>1</v>
      </c>
      <c r="U21" s="1" t="s">
        <v>112</v>
      </c>
      <c r="V21" s="1" t="s">
        <v>53</v>
      </c>
      <c r="W21" s="1" t="s">
        <v>13</v>
      </c>
      <c r="X21" s="1">
        <v>548</v>
      </c>
      <c r="Y21" s="1">
        <f>Table1[[#This Row],[hiv_num]]/Table1[[#This Row],[analytical_sample_size]]</f>
        <v>2.029103565742215E-2</v>
      </c>
      <c r="Z21" s="1" t="s">
        <v>80</v>
      </c>
      <c r="AA21" s="1" t="s">
        <v>318</v>
      </c>
      <c r="AB21" s="1" t="s">
        <v>317</v>
      </c>
      <c r="AC21" s="1" t="s">
        <v>41</v>
      </c>
      <c r="AD21" s="1" t="s">
        <v>53</v>
      </c>
      <c r="AE21" s="1" t="s">
        <v>8</v>
      </c>
      <c r="AF21" s="1" t="s">
        <v>316</v>
      </c>
      <c r="AG21" s="1" t="s">
        <v>315</v>
      </c>
      <c r="AH21" s="1" t="s">
        <v>26</v>
      </c>
      <c r="AI21" s="1" t="s">
        <v>36</v>
      </c>
      <c r="AJ21" s="1" t="s">
        <v>36</v>
      </c>
      <c r="AK21" s="1"/>
      <c r="AL21" s="1"/>
      <c r="AM21" s="1"/>
      <c r="AN21" s="1"/>
      <c r="AO21" s="1"/>
      <c r="AP21" s="1"/>
      <c r="AQ21" s="1" t="s">
        <v>2</v>
      </c>
      <c r="AR21" s="1" t="s">
        <v>1</v>
      </c>
      <c r="AS21" s="1">
        <v>1.01</v>
      </c>
      <c r="AT21" s="1">
        <v>0.83</v>
      </c>
      <c r="AU21" s="1">
        <v>1.23</v>
      </c>
      <c r="AV21" s="1" t="s">
        <v>1</v>
      </c>
      <c r="AW21" s="1">
        <v>1.01</v>
      </c>
      <c r="AX21" s="1">
        <v>0.83</v>
      </c>
      <c r="AY21" s="1">
        <v>1.23</v>
      </c>
      <c r="AZ21" s="1">
        <v>0.91100000000000003</v>
      </c>
      <c r="BA21" s="1" t="s">
        <v>0</v>
      </c>
      <c r="BB21" s="1"/>
      <c r="BC21" s="1"/>
      <c r="BD21" s="1"/>
      <c r="BE21" s="1" t="s">
        <v>0</v>
      </c>
      <c r="BF21" s="1" t="s">
        <v>0</v>
      </c>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row>
    <row r="22" spans="1:356" s="2" customFormat="1" x14ac:dyDescent="0.25">
      <c r="A22" s="1" t="s">
        <v>322</v>
      </c>
      <c r="B22" s="1" t="s">
        <v>321</v>
      </c>
      <c r="C22" s="1" t="s">
        <v>320</v>
      </c>
      <c r="D22" s="1">
        <v>2022</v>
      </c>
      <c r="E22" s="1" t="b">
        <v>0</v>
      </c>
      <c r="F22" s="1" t="s">
        <v>1381</v>
      </c>
      <c r="G22" s="1" t="s">
        <v>1380</v>
      </c>
      <c r="H22" s="1" t="s">
        <v>22</v>
      </c>
      <c r="I22" s="1" t="s">
        <v>21</v>
      </c>
      <c r="J22" s="1" t="s">
        <v>20</v>
      </c>
      <c r="K22" s="1" t="s">
        <v>319</v>
      </c>
      <c r="L22" s="1" t="s">
        <v>319</v>
      </c>
      <c r="M22" s="1" t="s">
        <v>278</v>
      </c>
      <c r="N22" s="1" t="s">
        <v>259</v>
      </c>
      <c r="O22" s="1" t="s">
        <v>42</v>
      </c>
      <c r="P22" s="1" t="s">
        <v>258</v>
      </c>
      <c r="Q22" s="1" t="s">
        <v>1526</v>
      </c>
      <c r="R22" s="1" t="s">
        <v>2</v>
      </c>
      <c r="S22" s="1" t="s">
        <v>21</v>
      </c>
      <c r="T22" s="1">
        <v>1</v>
      </c>
      <c r="U22" s="1" t="s">
        <v>112</v>
      </c>
      <c r="V22" s="1" t="s">
        <v>53</v>
      </c>
      <c r="W22" s="1" t="s">
        <v>13</v>
      </c>
      <c r="X22" s="1">
        <v>548</v>
      </c>
      <c r="Y22" s="1">
        <f>Table1[[#This Row],[hiv_num]]/Table1[[#This Row],[analytical_sample_size]]</f>
        <v>2.029103565742215E-2</v>
      </c>
      <c r="Z22" s="1" t="s">
        <v>11</v>
      </c>
      <c r="AA22" s="1" t="s">
        <v>173</v>
      </c>
      <c r="AB22" s="1" t="s">
        <v>325</v>
      </c>
      <c r="AC22" s="1" t="s">
        <v>41</v>
      </c>
      <c r="AD22" s="1" t="s">
        <v>53</v>
      </c>
      <c r="AE22" s="1" t="s">
        <v>8</v>
      </c>
      <c r="AF22" s="1" t="s">
        <v>324</v>
      </c>
      <c r="AG22" s="1" t="s">
        <v>323</v>
      </c>
      <c r="AH22" s="1" t="s">
        <v>26</v>
      </c>
      <c r="AI22" s="1" t="s">
        <v>36</v>
      </c>
      <c r="AJ22" s="1" t="s">
        <v>36</v>
      </c>
      <c r="AK22" s="1"/>
      <c r="AL22" s="1"/>
      <c r="AM22" s="1"/>
      <c r="AN22" s="1"/>
      <c r="AO22" s="1"/>
      <c r="AP22" s="1"/>
      <c r="AQ22" s="1" t="s">
        <v>2</v>
      </c>
      <c r="AR22" s="1" t="s">
        <v>1</v>
      </c>
      <c r="AS22" s="1">
        <v>0.96</v>
      </c>
      <c r="AT22" s="1">
        <v>0.77</v>
      </c>
      <c r="AU22" s="1">
        <v>1.2</v>
      </c>
      <c r="AV22" s="1" t="s">
        <v>1</v>
      </c>
      <c r="AW22" s="1">
        <v>0.96</v>
      </c>
      <c r="AX22" s="1">
        <v>0.77</v>
      </c>
      <c r="AY22" s="1">
        <v>1.2</v>
      </c>
      <c r="AZ22" s="1">
        <v>0.70599999999999996</v>
      </c>
      <c r="BA22" s="1" t="s">
        <v>0</v>
      </c>
      <c r="BB22" s="1"/>
      <c r="BC22" s="1"/>
      <c r="BD22" s="1"/>
      <c r="BE22" s="1" t="s">
        <v>0</v>
      </c>
      <c r="BF22" s="1" t="s">
        <v>0</v>
      </c>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row>
    <row r="23" spans="1:356" s="2" customFormat="1" x14ac:dyDescent="0.25">
      <c r="A23" s="1" t="s">
        <v>308</v>
      </c>
      <c r="B23" s="1" t="s">
        <v>307</v>
      </c>
      <c r="C23" s="1" t="s">
        <v>306</v>
      </c>
      <c r="D23" s="1">
        <v>2023</v>
      </c>
      <c r="E23" s="1" t="b">
        <v>0</v>
      </c>
      <c r="F23" s="1" t="s">
        <v>1381</v>
      </c>
      <c r="G23" s="1" t="s">
        <v>1380</v>
      </c>
      <c r="H23" s="1" t="s">
        <v>22</v>
      </c>
      <c r="I23" s="1" t="s">
        <v>21</v>
      </c>
      <c r="J23" s="1" t="s">
        <v>20</v>
      </c>
      <c r="K23" s="1">
        <v>4279</v>
      </c>
      <c r="L23" s="1" t="s">
        <v>312</v>
      </c>
      <c r="M23" s="1" t="s">
        <v>260</v>
      </c>
      <c r="N23" s="1" t="s">
        <v>304</v>
      </c>
      <c r="O23" s="1" t="s">
        <v>42</v>
      </c>
      <c r="P23" s="1" t="s">
        <v>15</v>
      </c>
      <c r="Q23" s="1" t="s">
        <v>1526</v>
      </c>
      <c r="R23" s="1" t="s">
        <v>2</v>
      </c>
      <c r="S23" s="1" t="s">
        <v>21</v>
      </c>
      <c r="T23" s="1">
        <v>1</v>
      </c>
      <c r="U23" s="1" t="s">
        <v>14</v>
      </c>
      <c r="V23" s="1" t="s">
        <v>53</v>
      </c>
      <c r="W23" s="1" t="s">
        <v>13</v>
      </c>
      <c r="X23" s="1" t="s">
        <v>7</v>
      </c>
      <c r="Y23" s="1">
        <f>Table1[[#This Row],[hiv_num]]/Table1[[#This Row],[analytical_sample_size]]</f>
        <v>6.3555682794159754E-2</v>
      </c>
      <c r="Z23" s="1" t="s">
        <v>80</v>
      </c>
      <c r="AA23" s="1" t="s">
        <v>303</v>
      </c>
      <c r="AB23" s="1" t="s">
        <v>80</v>
      </c>
      <c r="AC23" s="1" t="s">
        <v>41</v>
      </c>
      <c r="AD23" s="1" t="s">
        <v>53</v>
      </c>
      <c r="AE23" s="1" t="s">
        <v>8</v>
      </c>
      <c r="AF23" s="1">
        <f>367+66</f>
        <v>433</v>
      </c>
      <c r="AG23" s="1">
        <f>Table1[[#This Row],[exposed_num]]/4279</f>
        <v>0.1011918672587053</v>
      </c>
      <c r="AH23" s="1" t="s">
        <v>26</v>
      </c>
      <c r="AI23" s="1" t="s">
        <v>36</v>
      </c>
      <c r="AJ23" s="1" t="s">
        <v>310</v>
      </c>
      <c r="AK23" s="1"/>
      <c r="AL23" s="1"/>
      <c r="AM23" s="1"/>
      <c r="AN23" s="1"/>
      <c r="AO23" s="1"/>
      <c r="AP23" s="1"/>
      <c r="AQ23" s="1" t="s">
        <v>2</v>
      </c>
      <c r="AR23" s="1" t="s">
        <v>1</v>
      </c>
      <c r="AS23" s="1">
        <v>1</v>
      </c>
      <c r="AT23" s="1">
        <v>0.64</v>
      </c>
      <c r="AU23" s="1">
        <v>1.54</v>
      </c>
      <c r="AV23" s="1" t="s">
        <v>1</v>
      </c>
      <c r="AW23" s="1">
        <v>1</v>
      </c>
      <c r="AX23" s="1">
        <v>0.64</v>
      </c>
      <c r="AY23" s="1">
        <v>1.54</v>
      </c>
      <c r="AZ23" s="1" t="s">
        <v>314</v>
      </c>
      <c r="BA23" s="1" t="s">
        <v>0</v>
      </c>
      <c r="BB23" s="1"/>
      <c r="BC23" s="1"/>
      <c r="BD23" s="1"/>
      <c r="BE23" s="1" t="s">
        <v>0</v>
      </c>
      <c r="BF23" s="1" t="s">
        <v>0</v>
      </c>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row>
    <row r="24" spans="1:356" s="2" customFormat="1" x14ac:dyDescent="0.25">
      <c r="A24" s="1" t="s">
        <v>308</v>
      </c>
      <c r="B24" s="1" t="s">
        <v>307</v>
      </c>
      <c r="C24" s="1" t="s">
        <v>306</v>
      </c>
      <c r="D24" s="1">
        <v>2023</v>
      </c>
      <c r="E24" s="1" t="b">
        <v>0</v>
      </c>
      <c r="F24" s="1" t="s">
        <v>1381</v>
      </c>
      <c r="G24" s="1" t="s">
        <v>1380</v>
      </c>
      <c r="H24" s="1" t="s">
        <v>22</v>
      </c>
      <c r="I24" s="1" t="s">
        <v>21</v>
      </c>
      <c r="J24" s="1" t="s">
        <v>20</v>
      </c>
      <c r="K24" s="1">
        <v>4279</v>
      </c>
      <c r="L24" s="1" t="s">
        <v>312</v>
      </c>
      <c r="M24" s="1" t="s">
        <v>260</v>
      </c>
      <c r="N24" s="1" t="s">
        <v>304</v>
      </c>
      <c r="O24" s="1" t="s">
        <v>42</v>
      </c>
      <c r="P24" s="1" t="s">
        <v>15</v>
      </c>
      <c r="Q24" s="1" t="s">
        <v>1526</v>
      </c>
      <c r="R24" s="1" t="s">
        <v>2</v>
      </c>
      <c r="S24" s="1" t="s">
        <v>21</v>
      </c>
      <c r="T24" s="1">
        <v>1</v>
      </c>
      <c r="U24" s="1" t="s">
        <v>14</v>
      </c>
      <c r="V24" s="1" t="s">
        <v>53</v>
      </c>
      <c r="W24" s="1" t="s">
        <v>13</v>
      </c>
      <c r="X24" s="1" t="s">
        <v>7</v>
      </c>
      <c r="Y24" s="1">
        <f>Table1[[#This Row],[hiv_num]]/3493</f>
        <v>6.3555682794159754E-2</v>
      </c>
      <c r="Z24" s="1" t="s">
        <v>11</v>
      </c>
      <c r="AA24" s="1" t="s">
        <v>311</v>
      </c>
      <c r="AB24" s="1" t="s">
        <v>11</v>
      </c>
      <c r="AC24" s="1" t="s">
        <v>41</v>
      </c>
      <c r="AD24" s="1" t="s">
        <v>53</v>
      </c>
      <c r="AE24" s="1" t="s">
        <v>8</v>
      </c>
      <c r="AF24" s="1">
        <f>859+200</f>
        <v>1059</v>
      </c>
      <c r="AG24" s="1">
        <f>Table1[[#This Row],[exposed_num]]/4279</f>
        <v>0.2474877307782192</v>
      </c>
      <c r="AH24" s="1" t="s">
        <v>26</v>
      </c>
      <c r="AI24" s="1" t="s">
        <v>36</v>
      </c>
      <c r="AJ24" s="1" t="s">
        <v>310</v>
      </c>
      <c r="AK24" s="1"/>
      <c r="AL24" s="1"/>
      <c r="AM24" s="1"/>
      <c r="AN24" s="1"/>
      <c r="AO24" s="1"/>
      <c r="AP24" s="1"/>
      <c r="AQ24" s="1" t="s">
        <v>2</v>
      </c>
      <c r="AR24" s="1" t="s">
        <v>1</v>
      </c>
      <c r="AS24" s="1">
        <v>0.94</v>
      </c>
      <c r="AT24" s="1">
        <v>0.69</v>
      </c>
      <c r="AU24" s="1">
        <v>1.29</v>
      </c>
      <c r="AV24" s="1" t="s">
        <v>1</v>
      </c>
      <c r="AW24" s="1">
        <v>0.94</v>
      </c>
      <c r="AX24" s="1">
        <v>0.69</v>
      </c>
      <c r="AY24" s="1">
        <v>1.29</v>
      </c>
      <c r="AZ24" s="1" t="s">
        <v>309</v>
      </c>
      <c r="BA24" s="1" t="s">
        <v>0</v>
      </c>
      <c r="BB24" s="1"/>
      <c r="BC24" s="1"/>
      <c r="BD24" s="1"/>
      <c r="BE24" s="1" t="s">
        <v>0</v>
      </c>
      <c r="BF24" s="1" t="s">
        <v>0</v>
      </c>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row>
    <row r="25" spans="1:356" x14ac:dyDescent="0.25">
      <c r="A25" s="1" t="s">
        <v>308</v>
      </c>
      <c r="B25" s="1" t="s">
        <v>307</v>
      </c>
      <c r="C25" s="1" t="s">
        <v>306</v>
      </c>
      <c r="D25" s="1">
        <v>2023</v>
      </c>
      <c r="E25" s="1" t="b">
        <v>0</v>
      </c>
      <c r="F25" s="1" t="s">
        <v>1381</v>
      </c>
      <c r="G25" s="1" t="s">
        <v>1380</v>
      </c>
      <c r="H25" s="1" t="s">
        <v>22</v>
      </c>
      <c r="I25" s="1" t="s">
        <v>21</v>
      </c>
      <c r="J25" s="1" t="s">
        <v>20</v>
      </c>
      <c r="K25" s="1">
        <v>4279</v>
      </c>
      <c r="L25" s="1" t="s">
        <v>305</v>
      </c>
      <c r="M25" s="1" t="s">
        <v>260</v>
      </c>
      <c r="N25" s="1" t="s">
        <v>304</v>
      </c>
      <c r="O25" s="1" t="s">
        <v>42</v>
      </c>
      <c r="P25" s="1" t="s">
        <v>15</v>
      </c>
      <c r="Q25" s="1" t="s">
        <v>1526</v>
      </c>
      <c r="R25" s="1" t="s">
        <v>2</v>
      </c>
      <c r="S25" s="1" t="s">
        <v>21</v>
      </c>
      <c r="T25" s="1">
        <v>1</v>
      </c>
      <c r="U25" s="1" t="s">
        <v>14</v>
      </c>
      <c r="V25" s="1" t="s">
        <v>53</v>
      </c>
      <c r="W25" s="1" t="s">
        <v>13</v>
      </c>
      <c r="X25" s="1">
        <v>222</v>
      </c>
      <c r="Y25" s="1">
        <f>Table1[[#This Row],[hiv_num]]/3493</f>
        <v>6.3555682794159754E-2</v>
      </c>
      <c r="Z25" s="1" t="s">
        <v>80</v>
      </c>
      <c r="AA25" s="1" t="s">
        <v>303</v>
      </c>
      <c r="AB25" s="1" t="s">
        <v>80</v>
      </c>
      <c r="AC25" s="1" t="s">
        <v>41</v>
      </c>
      <c r="AD25" s="1" t="s">
        <v>53</v>
      </c>
      <c r="AE25" s="1" t="s">
        <v>8</v>
      </c>
      <c r="AF25" s="1">
        <f>367+66</f>
        <v>433</v>
      </c>
      <c r="AG25" s="1">
        <f>Table1[[#This Row],[exposed_num]]/4279</f>
        <v>0.1011918672587053</v>
      </c>
      <c r="AH25" s="1" t="s">
        <v>6</v>
      </c>
      <c r="AI25" s="1" t="s">
        <v>56</v>
      </c>
      <c r="AJ25" s="1" t="s">
        <v>302</v>
      </c>
      <c r="AK25" s="1"/>
      <c r="AL25" s="1"/>
      <c r="AM25" s="1"/>
      <c r="AN25" s="1"/>
      <c r="AO25" s="1" t="s">
        <v>301</v>
      </c>
      <c r="AP25" s="1" t="s">
        <v>53</v>
      </c>
      <c r="AQ25" s="1" t="s">
        <v>2</v>
      </c>
      <c r="AR25" s="1" t="s">
        <v>1</v>
      </c>
      <c r="AS25" s="1">
        <v>0.91</v>
      </c>
      <c r="AT25" s="1">
        <v>0.72</v>
      </c>
      <c r="AU25" s="1">
        <v>1.1399999999999999</v>
      </c>
      <c r="AV25" s="1" t="s">
        <v>1</v>
      </c>
      <c r="AW25" s="1">
        <v>0.91</v>
      </c>
      <c r="AX25" s="1">
        <v>0.72</v>
      </c>
      <c r="AY25" s="1">
        <v>1.1399999999999999</v>
      </c>
      <c r="AZ25" s="1" t="s">
        <v>300</v>
      </c>
      <c r="BA25" s="1" t="s">
        <v>0</v>
      </c>
      <c r="BB25" s="1"/>
      <c r="BC25" s="1"/>
      <c r="BD25" s="1"/>
      <c r="BE25" s="1" t="s">
        <v>0</v>
      </c>
      <c r="BF25" s="1" t="s">
        <v>0</v>
      </c>
    </row>
    <row r="26" spans="1:356" x14ac:dyDescent="0.25">
      <c r="A26" s="1" t="s">
        <v>308</v>
      </c>
      <c r="B26" s="1" t="s">
        <v>307</v>
      </c>
      <c r="C26" s="1" t="s">
        <v>306</v>
      </c>
      <c r="D26" s="1">
        <v>2023</v>
      </c>
      <c r="E26" s="1" t="b">
        <v>0</v>
      </c>
      <c r="F26" s="1" t="s">
        <v>1381</v>
      </c>
      <c r="G26" s="1" t="s">
        <v>1380</v>
      </c>
      <c r="H26" s="1" t="s">
        <v>22</v>
      </c>
      <c r="I26" s="1" t="s">
        <v>21</v>
      </c>
      <c r="J26" s="1" t="s">
        <v>20</v>
      </c>
      <c r="K26" s="1">
        <v>4279</v>
      </c>
      <c r="L26" s="1" t="s">
        <v>305</v>
      </c>
      <c r="M26" s="1" t="s">
        <v>260</v>
      </c>
      <c r="N26" s="1" t="s">
        <v>304</v>
      </c>
      <c r="O26" s="1" t="s">
        <v>42</v>
      </c>
      <c r="P26" s="1" t="s">
        <v>15</v>
      </c>
      <c r="Q26" s="1" t="s">
        <v>1526</v>
      </c>
      <c r="R26" s="1" t="s">
        <v>2</v>
      </c>
      <c r="S26" s="1" t="s">
        <v>21</v>
      </c>
      <c r="T26" s="1">
        <v>1</v>
      </c>
      <c r="U26" s="1" t="s">
        <v>14</v>
      </c>
      <c r="V26" s="1" t="s">
        <v>53</v>
      </c>
      <c r="W26" s="1" t="s">
        <v>13</v>
      </c>
      <c r="X26" s="1">
        <v>222</v>
      </c>
      <c r="Y26" s="1">
        <f>Table1[[#This Row],[hiv_num]]/3493</f>
        <v>6.3555682794159754E-2</v>
      </c>
      <c r="Z26" s="1" t="s">
        <v>11</v>
      </c>
      <c r="AA26" s="1" t="s">
        <v>311</v>
      </c>
      <c r="AB26" s="1" t="s">
        <v>11</v>
      </c>
      <c r="AC26" s="1" t="s">
        <v>41</v>
      </c>
      <c r="AD26" s="1" t="s">
        <v>53</v>
      </c>
      <c r="AE26" s="1" t="s">
        <v>8</v>
      </c>
      <c r="AF26" s="1">
        <f>859+200</f>
        <v>1059</v>
      </c>
      <c r="AG26" s="1">
        <f>Table1[[#This Row],[exposed_num]]/4279</f>
        <v>0.2474877307782192</v>
      </c>
      <c r="AH26" s="1" t="s">
        <v>6</v>
      </c>
      <c r="AI26" s="1" t="s">
        <v>56</v>
      </c>
      <c r="AJ26" s="1" t="s">
        <v>302</v>
      </c>
      <c r="AK26" s="1"/>
      <c r="AL26" s="1"/>
      <c r="AM26" s="1"/>
      <c r="AN26" s="1"/>
      <c r="AO26" s="1" t="s">
        <v>301</v>
      </c>
      <c r="AP26" s="1" t="s">
        <v>53</v>
      </c>
      <c r="AQ26" s="1" t="s">
        <v>2</v>
      </c>
      <c r="AR26" s="1" t="s">
        <v>1</v>
      </c>
      <c r="AS26" s="1">
        <v>0.91</v>
      </c>
      <c r="AT26" s="1">
        <v>0.77</v>
      </c>
      <c r="AU26" s="1">
        <v>1.07</v>
      </c>
      <c r="AV26" s="1" t="s">
        <v>1</v>
      </c>
      <c r="AW26" s="1">
        <v>0.91</v>
      </c>
      <c r="AX26" s="1">
        <v>0.77</v>
      </c>
      <c r="AY26" s="1">
        <v>1.07</v>
      </c>
      <c r="AZ26" s="1" t="s">
        <v>313</v>
      </c>
      <c r="BA26" s="1" t="s">
        <v>0</v>
      </c>
      <c r="BB26" s="1"/>
      <c r="BC26" s="1"/>
      <c r="BD26" s="1"/>
      <c r="BE26" s="1" t="s">
        <v>0</v>
      </c>
      <c r="BF26" s="1" t="s">
        <v>0</v>
      </c>
    </row>
    <row r="27" spans="1:356" x14ac:dyDescent="0.25">
      <c r="A27" s="1" t="s">
        <v>299</v>
      </c>
      <c r="B27" s="1" t="s">
        <v>298</v>
      </c>
      <c r="C27" s="1" t="s">
        <v>288</v>
      </c>
      <c r="D27" s="1">
        <v>2010</v>
      </c>
      <c r="E27" s="1" t="b">
        <v>1</v>
      </c>
      <c r="F27" s="1" t="s">
        <v>1380</v>
      </c>
      <c r="G27" s="1" t="s">
        <v>1380</v>
      </c>
      <c r="H27" s="1" t="s">
        <v>22</v>
      </c>
      <c r="I27" s="1" t="s">
        <v>21</v>
      </c>
      <c r="J27" s="1" t="s">
        <v>20</v>
      </c>
      <c r="K27" s="1">
        <v>3852</v>
      </c>
      <c r="L27" s="1" t="s">
        <v>297</v>
      </c>
      <c r="M27" s="1" t="s">
        <v>260</v>
      </c>
      <c r="N27" s="1" t="s">
        <v>259</v>
      </c>
      <c r="O27" s="1" t="s">
        <v>42</v>
      </c>
      <c r="P27" s="1" t="s">
        <v>258</v>
      </c>
      <c r="Q27" s="1" t="s">
        <v>1526</v>
      </c>
      <c r="R27" s="1" t="s">
        <v>35</v>
      </c>
      <c r="S27" s="1" t="s">
        <v>21</v>
      </c>
      <c r="T27" s="1">
        <v>2</v>
      </c>
      <c r="U27" s="1" t="s">
        <v>145</v>
      </c>
      <c r="V27" s="1" t="s">
        <v>53</v>
      </c>
      <c r="W27" s="1" t="s">
        <v>13</v>
      </c>
      <c r="X27" s="1" t="s">
        <v>296</v>
      </c>
      <c r="Y27" s="1" t="s">
        <v>295</v>
      </c>
      <c r="Z27" s="1" t="s">
        <v>39</v>
      </c>
      <c r="AA27" s="1" t="s">
        <v>294</v>
      </c>
      <c r="AB27" s="1" t="s">
        <v>37</v>
      </c>
      <c r="AC27" s="1" t="s">
        <v>41</v>
      </c>
      <c r="AD27" s="1" t="s">
        <v>53</v>
      </c>
      <c r="AE27" s="1" t="s">
        <v>8</v>
      </c>
      <c r="AF27" s="1" t="s">
        <v>293</v>
      </c>
      <c r="AG27" s="1" t="s">
        <v>292</v>
      </c>
      <c r="AH27" s="1" t="s">
        <v>26</v>
      </c>
      <c r="AI27" s="1" t="s">
        <v>36</v>
      </c>
      <c r="AJ27" s="1" t="s">
        <v>36</v>
      </c>
      <c r="AK27" s="1"/>
      <c r="AL27" s="1"/>
      <c r="AM27" s="1"/>
      <c r="AN27" s="1"/>
      <c r="AO27" s="1"/>
      <c r="AP27" s="1"/>
      <c r="AQ27" s="1" t="s">
        <v>35</v>
      </c>
      <c r="AR27" s="1" t="s">
        <v>1</v>
      </c>
      <c r="AS27" s="1">
        <v>0.96</v>
      </c>
      <c r="AT27" s="1">
        <v>0.7</v>
      </c>
      <c r="AU27" s="1">
        <v>1.32</v>
      </c>
      <c r="AV27" s="1" t="s">
        <v>1</v>
      </c>
      <c r="AW27" s="1">
        <v>1.1000000000000001</v>
      </c>
      <c r="AX27" s="1">
        <v>0.8</v>
      </c>
      <c r="AY27" s="1">
        <v>1.49</v>
      </c>
      <c r="AZ27" s="1" t="s">
        <v>0</v>
      </c>
      <c r="BA27" s="1" t="s">
        <v>1</v>
      </c>
      <c r="BB27" s="1">
        <v>0.96</v>
      </c>
      <c r="BC27" s="1">
        <v>0.7</v>
      </c>
      <c r="BD27" s="1">
        <v>1.32</v>
      </c>
      <c r="BE27" s="1" t="s">
        <v>0</v>
      </c>
      <c r="BF27" s="1" t="s">
        <v>291</v>
      </c>
    </row>
    <row r="28" spans="1:356" x14ac:dyDescent="0.25">
      <c r="A28" s="1" t="s">
        <v>290</v>
      </c>
      <c r="B28" s="1" t="s">
        <v>289</v>
      </c>
      <c r="C28" s="1" t="s">
        <v>288</v>
      </c>
      <c r="D28" s="1">
        <v>2015</v>
      </c>
      <c r="E28" s="1" t="b">
        <v>1</v>
      </c>
      <c r="F28" s="1" t="s">
        <v>1380</v>
      </c>
      <c r="G28" s="1" t="s">
        <v>1380</v>
      </c>
      <c r="H28" s="1" t="s">
        <v>22</v>
      </c>
      <c r="I28" s="1" t="s">
        <v>21</v>
      </c>
      <c r="J28" s="1" t="s">
        <v>20</v>
      </c>
      <c r="K28" s="1">
        <v>5792</v>
      </c>
      <c r="L28" s="1" t="s">
        <v>287</v>
      </c>
      <c r="M28" s="1" t="s">
        <v>260</v>
      </c>
      <c r="N28" s="1" t="s">
        <v>259</v>
      </c>
      <c r="O28" s="1" t="s">
        <v>42</v>
      </c>
      <c r="P28" s="1" t="s">
        <v>258</v>
      </c>
      <c r="Q28" s="1" t="s">
        <v>1526</v>
      </c>
      <c r="R28" s="1" t="s">
        <v>35</v>
      </c>
      <c r="S28" s="1" t="s">
        <v>21</v>
      </c>
      <c r="T28" s="1">
        <v>2</v>
      </c>
      <c r="U28" s="1" t="s">
        <v>145</v>
      </c>
      <c r="V28" s="1" t="s">
        <v>53</v>
      </c>
      <c r="W28" s="1" t="s">
        <v>13</v>
      </c>
      <c r="X28" s="1" t="s">
        <v>286</v>
      </c>
      <c r="Y28" s="1" t="s">
        <v>285</v>
      </c>
      <c r="Z28" s="1" t="s">
        <v>39</v>
      </c>
      <c r="AA28" s="1" t="s">
        <v>284</v>
      </c>
      <c r="AB28" s="1" t="s">
        <v>37</v>
      </c>
      <c r="AC28" s="1" t="s">
        <v>41</v>
      </c>
      <c r="AD28" s="1" t="s">
        <v>53</v>
      </c>
      <c r="AE28" s="1" t="s">
        <v>8</v>
      </c>
      <c r="AF28" s="1" t="s">
        <v>283</v>
      </c>
      <c r="AG28" s="1" t="s">
        <v>282</v>
      </c>
      <c r="AH28" s="1" t="s">
        <v>26</v>
      </c>
      <c r="AI28" s="1" t="s">
        <v>36</v>
      </c>
      <c r="AJ28" s="1" t="s">
        <v>36</v>
      </c>
      <c r="AK28" s="1"/>
      <c r="AL28" s="1"/>
      <c r="AM28" s="1"/>
      <c r="AN28" s="1"/>
      <c r="AO28" s="1"/>
      <c r="AP28" s="1"/>
      <c r="AQ28" s="1" t="s">
        <v>35</v>
      </c>
      <c r="AR28" s="1" t="s">
        <v>1</v>
      </c>
      <c r="AS28" s="1">
        <v>1.59</v>
      </c>
      <c r="AT28" s="1">
        <v>1.18</v>
      </c>
      <c r="AU28" s="1">
        <v>2.15</v>
      </c>
      <c r="AV28" s="1" t="s">
        <v>1</v>
      </c>
      <c r="AW28" s="1">
        <v>1.87</v>
      </c>
      <c r="AX28" s="1">
        <v>1.4</v>
      </c>
      <c r="AY28" s="1">
        <v>2.4900000000000002</v>
      </c>
      <c r="AZ28" s="1" t="s">
        <v>60</v>
      </c>
      <c r="BA28" s="1" t="s">
        <v>1</v>
      </c>
      <c r="BB28" s="1">
        <v>1.59</v>
      </c>
      <c r="BC28" s="1">
        <v>1.18</v>
      </c>
      <c r="BD28" s="1">
        <v>2.15</v>
      </c>
      <c r="BE28" s="1">
        <v>2E-3</v>
      </c>
      <c r="BF28" s="1" t="s">
        <v>281</v>
      </c>
    </row>
    <row r="29" spans="1:356" x14ac:dyDescent="0.25">
      <c r="A29" s="1" t="s">
        <v>290</v>
      </c>
      <c r="B29" s="1" t="s">
        <v>289</v>
      </c>
      <c r="C29" s="1" t="s">
        <v>288</v>
      </c>
      <c r="D29" s="1">
        <v>2015</v>
      </c>
      <c r="E29" s="1" t="b">
        <v>1</v>
      </c>
      <c r="F29" s="1" t="s">
        <v>1380</v>
      </c>
      <c r="G29" s="1" t="s">
        <v>1380</v>
      </c>
      <c r="H29" s="1" t="s">
        <v>22</v>
      </c>
      <c r="I29" s="1" t="s">
        <v>21</v>
      </c>
      <c r="J29" s="1" t="s">
        <v>20</v>
      </c>
      <c r="K29" s="1">
        <v>5792</v>
      </c>
      <c r="L29" s="1">
        <v>3909</v>
      </c>
      <c r="M29" s="1" t="s">
        <v>260</v>
      </c>
      <c r="N29" s="1" t="s">
        <v>259</v>
      </c>
      <c r="O29" s="1" t="s">
        <v>42</v>
      </c>
      <c r="P29" s="1" t="s">
        <v>258</v>
      </c>
      <c r="Q29" s="1" t="s">
        <v>1526</v>
      </c>
      <c r="R29" s="1" t="s">
        <v>35</v>
      </c>
      <c r="S29" s="1" t="s">
        <v>21</v>
      </c>
      <c r="T29" s="1">
        <v>2</v>
      </c>
      <c r="U29" s="1" t="s">
        <v>145</v>
      </c>
      <c r="V29" s="1" t="s">
        <v>53</v>
      </c>
      <c r="W29" s="1" t="s">
        <v>13</v>
      </c>
      <c r="X29" s="1" t="s">
        <v>286</v>
      </c>
      <c r="Y29" s="1" t="s">
        <v>285</v>
      </c>
      <c r="Z29" s="1" t="s">
        <v>39</v>
      </c>
      <c r="AA29" s="1" t="s">
        <v>284</v>
      </c>
      <c r="AB29" s="1" t="s">
        <v>37</v>
      </c>
      <c r="AC29" s="1" t="s">
        <v>41</v>
      </c>
      <c r="AD29" s="1" t="s">
        <v>53</v>
      </c>
      <c r="AE29" s="1" t="s">
        <v>8</v>
      </c>
      <c r="AF29" s="1" t="s">
        <v>283</v>
      </c>
      <c r="AG29" s="1" t="s">
        <v>282</v>
      </c>
      <c r="AH29" s="1" t="s">
        <v>6</v>
      </c>
      <c r="AI29" s="1" t="s">
        <v>56</v>
      </c>
      <c r="AJ29" s="1" t="s">
        <v>1440</v>
      </c>
      <c r="AK29" s="1"/>
      <c r="AL29" s="1"/>
      <c r="AM29" s="1"/>
      <c r="AN29" s="1"/>
      <c r="AO29" s="1" t="s">
        <v>9</v>
      </c>
      <c r="AP29" s="1" t="s">
        <v>9</v>
      </c>
      <c r="AQ29" s="1" t="s">
        <v>35</v>
      </c>
      <c r="AR29" s="1" t="s">
        <v>1</v>
      </c>
      <c r="AS29" s="1">
        <v>1.0900000000000001</v>
      </c>
      <c r="AT29" s="1">
        <v>0.81</v>
      </c>
      <c r="AU29" s="1">
        <v>1.48</v>
      </c>
      <c r="AV29" s="1" t="s">
        <v>1</v>
      </c>
      <c r="AW29" s="1">
        <v>1.02</v>
      </c>
      <c r="AX29" s="1">
        <v>0.78</v>
      </c>
      <c r="AY29" s="1">
        <v>1.33</v>
      </c>
      <c r="AZ29" s="1">
        <v>0.87</v>
      </c>
      <c r="BA29" s="1" t="s">
        <v>1</v>
      </c>
      <c r="BB29" s="1">
        <v>1.0900000000000001</v>
      </c>
      <c r="BC29" s="1">
        <v>0.81</v>
      </c>
      <c r="BD29" s="1">
        <v>1.48</v>
      </c>
      <c r="BE29" s="1">
        <v>0.56000000000000005</v>
      </c>
      <c r="BF29" s="1" t="s">
        <v>281</v>
      </c>
    </row>
    <row r="30" spans="1:356" x14ac:dyDescent="0.25">
      <c r="A30" s="1" t="s">
        <v>264</v>
      </c>
      <c r="B30" s="1" t="s">
        <v>263</v>
      </c>
      <c r="C30" s="1" t="s">
        <v>262</v>
      </c>
      <c r="D30" s="1">
        <v>2018</v>
      </c>
      <c r="E30" s="1" t="b">
        <v>0</v>
      </c>
      <c r="F30" s="1" t="s">
        <v>1381</v>
      </c>
      <c r="G30" s="1" t="s">
        <v>1380</v>
      </c>
      <c r="H30" s="1" t="s">
        <v>22</v>
      </c>
      <c r="I30" s="1" t="s">
        <v>21</v>
      </c>
      <c r="J30" s="1" t="s">
        <v>20</v>
      </c>
      <c r="K30" s="1" t="s">
        <v>261</v>
      </c>
      <c r="L30" s="1" t="s">
        <v>261</v>
      </c>
      <c r="M30" s="1" t="s">
        <v>260</v>
      </c>
      <c r="N30" s="1" t="s">
        <v>259</v>
      </c>
      <c r="O30" s="1" t="s">
        <v>42</v>
      </c>
      <c r="P30" s="1" t="s">
        <v>258</v>
      </c>
      <c r="Q30" s="1" t="s">
        <v>1526</v>
      </c>
      <c r="R30" s="1" t="s">
        <v>35</v>
      </c>
      <c r="S30" s="1" t="s">
        <v>21</v>
      </c>
      <c r="T30" s="1">
        <v>2</v>
      </c>
      <c r="U30" s="1" t="s">
        <v>112</v>
      </c>
      <c r="V30" s="1" t="s">
        <v>53</v>
      </c>
      <c r="W30" s="1" t="s">
        <v>13</v>
      </c>
      <c r="X30" s="1">
        <v>91</v>
      </c>
      <c r="Y30" s="1">
        <v>8.2000000000000003E-2</v>
      </c>
      <c r="Z30" s="1" t="s">
        <v>39</v>
      </c>
      <c r="AA30" s="1" t="s">
        <v>275</v>
      </c>
      <c r="AB30" s="1" t="s">
        <v>275</v>
      </c>
      <c r="AC30" s="1" t="s">
        <v>41</v>
      </c>
      <c r="AD30" s="1" t="s">
        <v>53</v>
      </c>
      <c r="AE30" s="1" t="s">
        <v>160</v>
      </c>
      <c r="AF30" s="1" t="s">
        <v>274</v>
      </c>
      <c r="AG30" s="1" t="s">
        <v>273</v>
      </c>
      <c r="AH30" s="1" t="s">
        <v>6</v>
      </c>
      <c r="AI30" s="1" t="s">
        <v>36</v>
      </c>
      <c r="AJ30" s="1" t="s">
        <v>36</v>
      </c>
      <c r="AK30" s="1"/>
      <c r="AL30" s="1"/>
      <c r="AM30" s="1"/>
      <c r="AN30" s="1"/>
      <c r="AO30" s="1"/>
      <c r="AP30" s="1"/>
      <c r="AQ30" s="1" t="s">
        <v>35</v>
      </c>
      <c r="AR30" s="1" t="s">
        <v>1</v>
      </c>
      <c r="AS30" s="1">
        <v>0.4</v>
      </c>
      <c r="AT30" s="1">
        <v>0.15</v>
      </c>
      <c r="AU30" s="1">
        <v>1.0900000000000001</v>
      </c>
      <c r="AV30" s="1" t="s">
        <v>1</v>
      </c>
      <c r="AW30" s="1">
        <v>0.28000000000000003</v>
      </c>
      <c r="AX30" s="1">
        <v>0.11</v>
      </c>
      <c r="AY30" s="1">
        <v>0.73</v>
      </c>
      <c r="AZ30" s="1" t="s">
        <v>0</v>
      </c>
      <c r="BA30" s="1" t="s">
        <v>1</v>
      </c>
      <c r="BB30" s="1">
        <v>0.4</v>
      </c>
      <c r="BC30" s="1">
        <v>0.15</v>
      </c>
      <c r="BD30" s="1">
        <v>1.0900000000000001</v>
      </c>
      <c r="BE30" s="1" t="s">
        <v>0</v>
      </c>
      <c r="BF30" s="1" t="s">
        <v>252</v>
      </c>
    </row>
    <row r="31" spans="1:356" x14ac:dyDescent="0.25">
      <c r="A31" s="1" t="s">
        <v>264</v>
      </c>
      <c r="B31" s="1" t="s">
        <v>263</v>
      </c>
      <c r="C31" s="1" t="s">
        <v>262</v>
      </c>
      <c r="D31" s="1">
        <v>2018</v>
      </c>
      <c r="E31" s="1" t="b">
        <v>0</v>
      </c>
      <c r="F31" s="1" t="s">
        <v>1381</v>
      </c>
      <c r="G31" s="1" t="s">
        <v>1380</v>
      </c>
      <c r="H31" s="1" t="s">
        <v>22</v>
      </c>
      <c r="I31" s="1" t="s">
        <v>21</v>
      </c>
      <c r="J31" s="1" t="s">
        <v>20</v>
      </c>
      <c r="K31" s="1" t="s">
        <v>261</v>
      </c>
      <c r="L31" s="1" t="s">
        <v>261</v>
      </c>
      <c r="M31" s="1" t="s">
        <v>260</v>
      </c>
      <c r="N31" s="1" t="s">
        <v>259</v>
      </c>
      <c r="O31" s="1" t="s">
        <v>42</v>
      </c>
      <c r="P31" s="1" t="s">
        <v>258</v>
      </c>
      <c r="Q31" s="1" t="s">
        <v>1526</v>
      </c>
      <c r="R31" s="1" t="s">
        <v>35</v>
      </c>
      <c r="S31" s="1" t="s">
        <v>21</v>
      </c>
      <c r="T31" s="1">
        <v>2</v>
      </c>
      <c r="U31" s="1" t="s">
        <v>112</v>
      </c>
      <c r="V31" s="1" t="s">
        <v>53</v>
      </c>
      <c r="W31" s="1" t="s">
        <v>13</v>
      </c>
      <c r="X31" s="1">
        <v>91</v>
      </c>
      <c r="Y31" s="1">
        <v>8.2000000000000003E-2</v>
      </c>
      <c r="Z31" s="1" t="s">
        <v>39</v>
      </c>
      <c r="AA31" s="1" t="s">
        <v>271</v>
      </c>
      <c r="AB31" s="1" t="s">
        <v>1434</v>
      </c>
      <c r="AC31" s="1" t="s">
        <v>41</v>
      </c>
      <c r="AD31" s="1" t="s">
        <v>53</v>
      </c>
      <c r="AE31" s="1" t="s">
        <v>8</v>
      </c>
      <c r="AF31" s="1" t="s">
        <v>270</v>
      </c>
      <c r="AG31" s="1" t="s">
        <v>269</v>
      </c>
      <c r="AH31" s="1" t="s">
        <v>6</v>
      </c>
      <c r="AI31" s="1" t="s">
        <v>36</v>
      </c>
      <c r="AJ31" s="1" t="s">
        <v>36</v>
      </c>
      <c r="AK31" s="1"/>
      <c r="AL31" s="1"/>
      <c r="AM31" s="1"/>
      <c r="AN31" s="1"/>
      <c r="AO31" s="1"/>
      <c r="AP31" s="1"/>
      <c r="AQ31" s="1" t="s">
        <v>35</v>
      </c>
      <c r="AR31" s="1" t="s">
        <v>1</v>
      </c>
      <c r="AS31" s="1">
        <v>1.32</v>
      </c>
      <c r="AT31" s="1">
        <v>0.41</v>
      </c>
      <c r="AU31" s="1">
        <v>4.29</v>
      </c>
      <c r="AV31" s="1" t="s">
        <v>1</v>
      </c>
      <c r="AW31" s="1">
        <v>1.1100000000000001</v>
      </c>
      <c r="AX31" s="1">
        <v>0.4</v>
      </c>
      <c r="AY31" s="1">
        <v>3.38</v>
      </c>
      <c r="AZ31" s="1" t="s">
        <v>0</v>
      </c>
      <c r="BA31" s="1" t="s">
        <v>1</v>
      </c>
      <c r="BB31" s="1">
        <v>1.32</v>
      </c>
      <c r="BC31" s="1">
        <v>0.41</v>
      </c>
      <c r="BD31" s="1">
        <v>4.29</v>
      </c>
      <c r="BE31" s="1" t="s">
        <v>0</v>
      </c>
      <c r="BF31" s="1" t="s">
        <v>252</v>
      </c>
    </row>
    <row r="32" spans="1:356" x14ac:dyDescent="0.25">
      <c r="A32" s="1" t="s">
        <v>264</v>
      </c>
      <c r="B32" s="1" t="s">
        <v>263</v>
      </c>
      <c r="C32" s="1" t="s">
        <v>262</v>
      </c>
      <c r="D32" s="1">
        <v>2018</v>
      </c>
      <c r="E32" s="1" t="b">
        <v>0</v>
      </c>
      <c r="F32" s="1" t="s">
        <v>1381</v>
      </c>
      <c r="G32" s="1" t="s">
        <v>1380</v>
      </c>
      <c r="H32" s="1" t="s">
        <v>22</v>
      </c>
      <c r="I32" s="1" t="s">
        <v>21</v>
      </c>
      <c r="J32" s="1" t="s">
        <v>20</v>
      </c>
      <c r="K32" s="1" t="s">
        <v>261</v>
      </c>
      <c r="L32" s="1" t="s">
        <v>261</v>
      </c>
      <c r="M32" s="1" t="s">
        <v>260</v>
      </c>
      <c r="N32" s="1" t="s">
        <v>259</v>
      </c>
      <c r="O32" s="1" t="s">
        <v>42</v>
      </c>
      <c r="P32" s="1" t="s">
        <v>258</v>
      </c>
      <c r="Q32" s="1" t="s">
        <v>1526</v>
      </c>
      <c r="R32" s="1" t="s">
        <v>35</v>
      </c>
      <c r="S32" s="1" t="s">
        <v>21</v>
      </c>
      <c r="T32" s="1">
        <v>2</v>
      </c>
      <c r="U32" s="1" t="s">
        <v>112</v>
      </c>
      <c r="V32" s="1" t="s">
        <v>53</v>
      </c>
      <c r="W32" s="1" t="s">
        <v>13</v>
      </c>
      <c r="X32" s="1">
        <v>91</v>
      </c>
      <c r="Y32" s="1">
        <v>8.2000000000000003E-2</v>
      </c>
      <c r="Z32" s="1" t="s">
        <v>39</v>
      </c>
      <c r="AA32" s="1" t="s">
        <v>268</v>
      </c>
      <c r="AB32" s="1" t="s">
        <v>267</v>
      </c>
      <c r="AC32" s="1" t="s">
        <v>41</v>
      </c>
      <c r="AD32" s="1" t="s">
        <v>53</v>
      </c>
      <c r="AE32" s="1" t="s">
        <v>8</v>
      </c>
      <c r="AF32" s="1" t="s">
        <v>266</v>
      </c>
      <c r="AG32" s="1" t="s">
        <v>265</v>
      </c>
      <c r="AH32" s="1" t="s">
        <v>6</v>
      </c>
      <c r="AI32" s="1" t="s">
        <v>36</v>
      </c>
      <c r="AJ32" s="1" t="s">
        <v>36</v>
      </c>
      <c r="AK32" s="1"/>
      <c r="AL32" s="1"/>
      <c r="AM32" s="1"/>
      <c r="AN32" s="1"/>
      <c r="AO32" s="1"/>
      <c r="AP32" s="1"/>
      <c r="AQ32" s="1" t="s">
        <v>35</v>
      </c>
      <c r="AR32" s="1" t="s">
        <v>1</v>
      </c>
      <c r="AS32" s="1">
        <v>1.1599999999999999</v>
      </c>
      <c r="AT32" s="1">
        <v>0.55000000000000004</v>
      </c>
      <c r="AU32" s="1">
        <v>2.44</v>
      </c>
      <c r="AV32" s="1" t="s">
        <v>1</v>
      </c>
      <c r="AW32" s="1">
        <v>1.75</v>
      </c>
      <c r="AX32" s="1">
        <v>0.88</v>
      </c>
      <c r="AY32" s="1">
        <v>3.5</v>
      </c>
      <c r="AZ32" s="1" t="s">
        <v>0</v>
      </c>
      <c r="BA32" s="1" t="s">
        <v>1</v>
      </c>
      <c r="BB32" s="1">
        <v>1.1599999999999999</v>
      </c>
      <c r="BC32" s="1">
        <v>0.55000000000000004</v>
      </c>
      <c r="BD32" s="1">
        <v>2.44</v>
      </c>
      <c r="BE32" s="1" t="s">
        <v>0</v>
      </c>
      <c r="BF32" s="1" t="s">
        <v>252</v>
      </c>
    </row>
    <row r="33" spans="1:58" x14ac:dyDescent="0.25">
      <c r="A33" s="1" t="s">
        <v>264</v>
      </c>
      <c r="B33" s="1" t="s">
        <v>263</v>
      </c>
      <c r="C33" s="1" t="s">
        <v>262</v>
      </c>
      <c r="D33" s="1">
        <v>2018</v>
      </c>
      <c r="E33" s="1" t="b">
        <v>0</v>
      </c>
      <c r="F33" s="1" t="s">
        <v>1381</v>
      </c>
      <c r="G33" s="1" t="s">
        <v>1380</v>
      </c>
      <c r="H33" s="1" t="s">
        <v>22</v>
      </c>
      <c r="I33" s="1" t="s">
        <v>21</v>
      </c>
      <c r="J33" s="1" t="s">
        <v>20</v>
      </c>
      <c r="K33" s="1" t="s">
        <v>261</v>
      </c>
      <c r="L33" s="1" t="s">
        <v>261</v>
      </c>
      <c r="M33" s="1" t="s">
        <v>260</v>
      </c>
      <c r="N33" s="1" t="s">
        <v>259</v>
      </c>
      <c r="O33" s="1" t="s">
        <v>42</v>
      </c>
      <c r="P33" s="1" t="s">
        <v>258</v>
      </c>
      <c r="Q33" s="1" t="s">
        <v>1526</v>
      </c>
      <c r="R33" s="1" t="s">
        <v>35</v>
      </c>
      <c r="S33" s="1" t="s">
        <v>21</v>
      </c>
      <c r="T33" s="1">
        <v>2</v>
      </c>
      <c r="U33" s="1" t="s">
        <v>112</v>
      </c>
      <c r="V33" s="1" t="s">
        <v>53</v>
      </c>
      <c r="W33" s="1" t="s">
        <v>13</v>
      </c>
      <c r="X33" s="1">
        <v>91</v>
      </c>
      <c r="Y33" s="1">
        <v>8.2000000000000003E-2</v>
      </c>
      <c r="Z33" s="1" t="s">
        <v>39</v>
      </c>
      <c r="AA33" s="1" t="s">
        <v>257</v>
      </c>
      <c r="AB33" s="1" t="s">
        <v>256</v>
      </c>
      <c r="AC33" s="1" t="s">
        <v>41</v>
      </c>
      <c r="AD33" s="1" t="s">
        <v>53</v>
      </c>
      <c r="AE33" s="1" t="s">
        <v>8</v>
      </c>
      <c r="AF33" s="1" t="s">
        <v>255</v>
      </c>
      <c r="AG33" s="1">
        <f>365/(365+727)</f>
        <v>0.33424908424908423</v>
      </c>
      <c r="AH33" s="1" t="s">
        <v>26</v>
      </c>
      <c r="AI33" s="1" t="s">
        <v>36</v>
      </c>
      <c r="AJ33" s="1" t="s">
        <v>36</v>
      </c>
      <c r="AK33" s="1"/>
      <c r="AL33" s="1"/>
      <c r="AM33" s="1"/>
      <c r="AN33" s="1"/>
      <c r="AO33" s="1"/>
      <c r="AP33" s="1"/>
      <c r="AQ33" s="1" t="s">
        <v>35</v>
      </c>
      <c r="AR33" s="1" t="s">
        <v>1</v>
      </c>
      <c r="AS33" s="1">
        <v>0.82</v>
      </c>
      <c r="AT33" s="1">
        <v>0.44</v>
      </c>
      <c r="AU33" s="1">
        <v>1.53</v>
      </c>
      <c r="AV33" s="1" t="s">
        <v>1</v>
      </c>
      <c r="AW33" s="1">
        <v>0.73</v>
      </c>
      <c r="AX33" s="1">
        <v>0.42</v>
      </c>
      <c r="AY33" s="1">
        <v>1.27</v>
      </c>
      <c r="AZ33" s="1" t="s">
        <v>254</v>
      </c>
      <c r="BA33" s="1" t="s">
        <v>1</v>
      </c>
      <c r="BB33" s="1">
        <v>0.82</v>
      </c>
      <c r="BC33" s="1">
        <v>0.44</v>
      </c>
      <c r="BD33" s="1">
        <v>1.53</v>
      </c>
      <c r="BE33" s="1" t="s">
        <v>253</v>
      </c>
      <c r="BF33" s="1" t="s">
        <v>252</v>
      </c>
    </row>
    <row r="34" spans="1:58" x14ac:dyDescent="0.25">
      <c r="A34" s="1" t="s">
        <v>1242</v>
      </c>
      <c r="B34" s="1" t="s">
        <v>250</v>
      </c>
      <c r="C34" s="1" t="s">
        <v>249</v>
      </c>
      <c r="D34" s="1">
        <v>2018</v>
      </c>
      <c r="E34" s="1" t="b">
        <v>0</v>
      </c>
      <c r="F34" s="1" t="s">
        <v>1381</v>
      </c>
      <c r="G34" s="1" t="s">
        <v>1380</v>
      </c>
      <c r="H34" s="1" t="s">
        <v>22</v>
      </c>
      <c r="I34" s="1" t="s">
        <v>21</v>
      </c>
      <c r="J34" s="1" t="s">
        <v>20</v>
      </c>
      <c r="K34" s="1" t="s">
        <v>248</v>
      </c>
      <c r="L34" s="1" t="s">
        <v>248</v>
      </c>
      <c r="M34" s="1" t="s">
        <v>18</v>
      </c>
      <c r="N34" s="1" t="s">
        <v>247</v>
      </c>
      <c r="O34" s="1" t="s">
        <v>42</v>
      </c>
      <c r="P34" s="1" t="s">
        <v>15</v>
      </c>
      <c r="Q34" s="1" t="s">
        <v>1526</v>
      </c>
      <c r="R34" s="1" t="s">
        <v>2</v>
      </c>
      <c r="S34" s="1" t="s">
        <v>21</v>
      </c>
      <c r="T34" s="1">
        <v>1</v>
      </c>
      <c r="U34" s="1" t="s">
        <v>41</v>
      </c>
      <c r="V34" s="1" t="s">
        <v>53</v>
      </c>
      <c r="W34" s="1" t="s">
        <v>13</v>
      </c>
      <c r="X34" s="1" t="s">
        <v>7</v>
      </c>
      <c r="Y34" s="1">
        <v>0.69599999999999995</v>
      </c>
      <c r="Z34" s="1" t="s">
        <v>39</v>
      </c>
      <c r="AA34" s="1" t="s">
        <v>246</v>
      </c>
      <c r="AB34" s="1" t="s">
        <v>37</v>
      </c>
      <c r="AC34" s="1" t="s">
        <v>9</v>
      </c>
      <c r="AD34" s="1" t="s">
        <v>9</v>
      </c>
      <c r="AE34" s="1" t="s">
        <v>8</v>
      </c>
      <c r="AF34" s="6">
        <f>324*0.484</f>
        <v>156.816</v>
      </c>
      <c r="AG34" s="1">
        <v>0.48399999999999999</v>
      </c>
      <c r="AH34" s="1" t="s">
        <v>26</v>
      </c>
      <c r="AI34" s="1" t="s">
        <v>36</v>
      </c>
      <c r="AJ34" s="1" t="s">
        <v>36</v>
      </c>
      <c r="AK34" s="1"/>
      <c r="AL34" s="1"/>
      <c r="AM34" s="1"/>
      <c r="AN34" s="1"/>
      <c r="AO34" s="1"/>
      <c r="AP34" s="1"/>
      <c r="AQ34" s="1" t="s">
        <v>2</v>
      </c>
      <c r="AR34" s="1" t="s">
        <v>1</v>
      </c>
      <c r="AS34" s="1">
        <v>1.0900000000000001</v>
      </c>
      <c r="AT34" s="1">
        <v>0.67</v>
      </c>
      <c r="AU34" s="1">
        <v>1.78</v>
      </c>
      <c r="AV34" s="1" t="s">
        <v>1</v>
      </c>
      <c r="AW34" s="1">
        <v>1.0900000000000001</v>
      </c>
      <c r="AX34" s="1">
        <v>0.67</v>
      </c>
      <c r="AY34" s="1">
        <v>1.78</v>
      </c>
      <c r="AZ34" s="1">
        <v>0.71599999999999997</v>
      </c>
      <c r="BA34" s="1" t="s">
        <v>0</v>
      </c>
      <c r="BB34" s="1"/>
      <c r="BC34" s="1"/>
      <c r="BD34" s="1"/>
      <c r="BE34" s="1" t="s">
        <v>0</v>
      </c>
      <c r="BF34" s="1" t="s">
        <v>0</v>
      </c>
    </row>
    <row r="35" spans="1:58" x14ac:dyDescent="0.25">
      <c r="A35" s="1" t="s">
        <v>1242</v>
      </c>
      <c r="B35" s="1" t="s">
        <v>250</v>
      </c>
      <c r="C35" s="1" t="s">
        <v>249</v>
      </c>
      <c r="D35" s="1">
        <v>2018</v>
      </c>
      <c r="E35" s="1" t="b">
        <v>0</v>
      </c>
      <c r="F35" s="1" t="s">
        <v>1381</v>
      </c>
      <c r="G35" s="1" t="s">
        <v>1380</v>
      </c>
      <c r="H35" s="1" t="s">
        <v>22</v>
      </c>
      <c r="I35" s="1" t="s">
        <v>21</v>
      </c>
      <c r="J35" s="1" t="s">
        <v>20</v>
      </c>
      <c r="K35" s="1" t="s">
        <v>248</v>
      </c>
      <c r="L35" s="1" t="s">
        <v>248</v>
      </c>
      <c r="M35" s="1" t="s">
        <v>18</v>
      </c>
      <c r="N35" s="1" t="s">
        <v>247</v>
      </c>
      <c r="O35" s="1" t="s">
        <v>42</v>
      </c>
      <c r="P35" s="1" t="s">
        <v>15</v>
      </c>
      <c r="Q35" s="1" t="s">
        <v>1526</v>
      </c>
      <c r="R35" s="1" t="s">
        <v>2</v>
      </c>
      <c r="S35" s="1" t="s">
        <v>21</v>
      </c>
      <c r="T35" s="1">
        <v>1</v>
      </c>
      <c r="U35" s="1" t="s">
        <v>41</v>
      </c>
      <c r="V35" s="1" t="s">
        <v>53</v>
      </c>
      <c r="W35" s="1" t="s">
        <v>13</v>
      </c>
      <c r="X35" s="1" t="s">
        <v>7</v>
      </c>
      <c r="Y35" s="1">
        <v>0.69599999999999995</v>
      </c>
      <c r="Z35" s="1" t="s">
        <v>39</v>
      </c>
      <c r="AA35" s="1" t="s">
        <v>246</v>
      </c>
      <c r="AB35" s="1" t="s">
        <v>37</v>
      </c>
      <c r="AC35" s="1" t="s">
        <v>9</v>
      </c>
      <c r="AD35" s="1" t="s">
        <v>9</v>
      </c>
      <c r="AE35" s="1" t="s">
        <v>8</v>
      </c>
      <c r="AF35" s="1" t="s">
        <v>245</v>
      </c>
      <c r="AG35" s="1" t="s">
        <v>244</v>
      </c>
      <c r="AH35" s="1" t="s">
        <v>6</v>
      </c>
      <c r="AI35" s="1" t="s">
        <v>56</v>
      </c>
      <c r="AJ35" s="1" t="s">
        <v>55</v>
      </c>
      <c r="AK35" s="1"/>
      <c r="AL35" s="1"/>
      <c r="AM35" s="1"/>
      <c r="AN35" s="1"/>
      <c r="AO35" s="1" t="s">
        <v>54</v>
      </c>
      <c r="AP35" s="1" t="s">
        <v>53</v>
      </c>
      <c r="AQ35" s="1" t="s">
        <v>2</v>
      </c>
      <c r="AR35" s="1" t="s">
        <v>1</v>
      </c>
      <c r="AS35" s="1">
        <v>1.1499999999999999</v>
      </c>
      <c r="AT35" s="1">
        <v>0.7</v>
      </c>
      <c r="AU35" s="1">
        <v>1.91</v>
      </c>
      <c r="AV35" s="1" t="s">
        <v>1</v>
      </c>
      <c r="AW35" s="1">
        <v>1.1499999999999999</v>
      </c>
      <c r="AX35" s="1">
        <v>0.7</v>
      </c>
      <c r="AY35" s="1">
        <v>1.91</v>
      </c>
      <c r="AZ35" s="1" t="s">
        <v>243</v>
      </c>
      <c r="BA35" s="1" t="s">
        <v>0</v>
      </c>
      <c r="BB35" s="1"/>
      <c r="BC35" s="1"/>
      <c r="BD35" s="1"/>
      <c r="BE35" s="1" t="s">
        <v>0</v>
      </c>
      <c r="BF35" s="1" t="s">
        <v>0</v>
      </c>
    </row>
    <row r="36" spans="1:58" x14ac:dyDescent="0.25">
      <c r="A36" s="1" t="s">
        <v>242</v>
      </c>
      <c r="B36" s="1" t="s">
        <v>241</v>
      </c>
      <c r="C36" s="1" t="s">
        <v>240</v>
      </c>
      <c r="D36" s="1">
        <v>2023</v>
      </c>
      <c r="E36" s="1" t="b">
        <v>0</v>
      </c>
      <c r="F36" s="1" t="s">
        <v>1381</v>
      </c>
      <c r="G36" s="1" t="s">
        <v>1380</v>
      </c>
      <c r="H36" s="1" t="s">
        <v>22</v>
      </c>
      <c r="I36" s="1" t="s">
        <v>21</v>
      </c>
      <c r="J36" s="1" t="s">
        <v>20</v>
      </c>
      <c r="K36" s="1">
        <v>1384</v>
      </c>
      <c r="L36" s="1" t="s">
        <v>238</v>
      </c>
      <c r="M36" s="1" t="s">
        <v>148</v>
      </c>
      <c r="N36" s="1" t="s">
        <v>147</v>
      </c>
      <c r="O36" s="1" t="s">
        <v>239</v>
      </c>
      <c r="P36" s="1" t="s">
        <v>15</v>
      </c>
      <c r="Q36" s="1" t="s">
        <v>1527</v>
      </c>
      <c r="R36" s="1" t="s">
        <v>35</v>
      </c>
      <c r="S36" s="1" t="s">
        <v>21</v>
      </c>
      <c r="T36" s="1">
        <v>1</v>
      </c>
      <c r="U36" s="1" t="s">
        <v>145</v>
      </c>
      <c r="V36" s="1" t="s">
        <v>53</v>
      </c>
      <c r="W36" s="1" t="s">
        <v>13</v>
      </c>
      <c r="X36" s="1" t="s">
        <v>238</v>
      </c>
      <c r="Y36" s="1" t="s">
        <v>13</v>
      </c>
      <c r="Z36" s="1" t="s">
        <v>39</v>
      </c>
      <c r="AA36" s="1" t="s">
        <v>1436</v>
      </c>
      <c r="AB36" s="1" t="s">
        <v>1436</v>
      </c>
      <c r="AC36" s="1" t="s">
        <v>9</v>
      </c>
      <c r="AD36" s="1" t="s">
        <v>9</v>
      </c>
      <c r="AE36" s="1" t="s">
        <v>8</v>
      </c>
      <c r="AF36" s="1" t="s">
        <v>236</v>
      </c>
      <c r="AG36" s="1" t="s">
        <v>235</v>
      </c>
      <c r="AH36" s="1" t="s">
        <v>26</v>
      </c>
      <c r="AI36" s="1" t="s">
        <v>5</v>
      </c>
      <c r="AJ36" s="1" t="s">
        <v>140</v>
      </c>
      <c r="AK36" s="1"/>
      <c r="AL36" s="1"/>
      <c r="AM36" s="1"/>
      <c r="AN36" s="1" t="s">
        <v>3</v>
      </c>
      <c r="AO36" s="1"/>
      <c r="AP36" s="1"/>
      <c r="AQ36" s="1" t="s">
        <v>35</v>
      </c>
      <c r="AR36" s="1" t="s">
        <v>139</v>
      </c>
      <c r="AS36" s="1">
        <v>0.88495575221238942</v>
      </c>
      <c r="AT36" s="1">
        <v>0.79</v>
      </c>
      <c r="AU36" s="1">
        <v>0.99</v>
      </c>
      <c r="AV36" s="1" t="s">
        <v>0</v>
      </c>
      <c r="AW36" s="1"/>
      <c r="AX36" s="1"/>
      <c r="AY36" s="1"/>
      <c r="AZ36" s="1" t="s">
        <v>0</v>
      </c>
      <c r="BA36" s="1" t="s">
        <v>139</v>
      </c>
      <c r="BB36" s="1">
        <v>0.88495575221238942</v>
      </c>
      <c r="BC36" s="1">
        <v>0.79</v>
      </c>
      <c r="BD36" s="1">
        <v>0.99</v>
      </c>
      <c r="BE36" s="1" t="s">
        <v>0</v>
      </c>
      <c r="BF36" s="1" t="s">
        <v>234</v>
      </c>
    </row>
    <row r="37" spans="1:58" x14ac:dyDescent="0.25">
      <c r="A37" s="1" t="s">
        <v>1437</v>
      </c>
      <c r="B37" s="1" t="s">
        <v>230</v>
      </c>
      <c r="C37" s="1" t="s">
        <v>229</v>
      </c>
      <c r="D37" s="1">
        <v>2019</v>
      </c>
      <c r="E37" s="1" t="b">
        <v>0</v>
      </c>
      <c r="F37" s="1" t="s">
        <v>1381</v>
      </c>
      <c r="G37" s="1" t="s">
        <v>1380</v>
      </c>
      <c r="H37" s="1" t="s">
        <v>22</v>
      </c>
      <c r="I37" s="1" t="s">
        <v>21</v>
      </c>
      <c r="J37" s="1" t="s">
        <v>20</v>
      </c>
      <c r="K37" s="1" t="s">
        <v>228</v>
      </c>
      <c r="L37" s="1" t="s">
        <v>228</v>
      </c>
      <c r="M37" s="1" t="s">
        <v>18</v>
      </c>
      <c r="N37" s="1" t="s">
        <v>43</v>
      </c>
      <c r="O37" s="1" t="s">
        <v>42</v>
      </c>
      <c r="P37" s="1" t="s">
        <v>15</v>
      </c>
      <c r="Q37" s="1" t="s">
        <v>1526</v>
      </c>
      <c r="R37" s="1" t="s">
        <v>2</v>
      </c>
      <c r="S37" s="1" t="s">
        <v>21</v>
      </c>
      <c r="T37" s="1">
        <v>1</v>
      </c>
      <c r="U37" s="1" t="s">
        <v>41</v>
      </c>
      <c r="V37" s="1" t="s">
        <v>53</v>
      </c>
      <c r="W37" s="1" t="s">
        <v>13</v>
      </c>
      <c r="X37" s="1" t="s">
        <v>227</v>
      </c>
      <c r="Y37" s="1">
        <f>Table1[[#This Row],[hiv_num]]/Table1[[#This Row],[analytical_sample_size]]</f>
        <v>0.24390243902439024</v>
      </c>
      <c r="Z37" s="1" t="s">
        <v>80</v>
      </c>
      <c r="AA37" s="1" t="s">
        <v>233</v>
      </c>
      <c r="AB37" s="1" t="s">
        <v>232</v>
      </c>
      <c r="AC37" s="1" t="s">
        <v>14</v>
      </c>
      <c r="AD37" s="1" t="s">
        <v>53</v>
      </c>
      <c r="AE37" s="1" t="s">
        <v>8</v>
      </c>
      <c r="AF37" s="1" t="s">
        <v>231</v>
      </c>
      <c r="AG37" s="1">
        <f>232/(232+1716)</f>
        <v>0.11909650924024641</v>
      </c>
      <c r="AH37" s="1" t="s">
        <v>26</v>
      </c>
      <c r="AI37" s="1" t="s">
        <v>36</v>
      </c>
      <c r="AJ37" s="1" t="s">
        <v>224</v>
      </c>
      <c r="AK37" s="1"/>
      <c r="AL37" s="1"/>
      <c r="AM37" s="1"/>
      <c r="AN37" s="1"/>
      <c r="AO37" s="1"/>
      <c r="AP37" s="1"/>
      <c r="AQ37" s="1" t="s">
        <v>2</v>
      </c>
      <c r="AR37" s="1" t="s">
        <v>1</v>
      </c>
      <c r="AS37" s="1">
        <v>0.65</v>
      </c>
      <c r="AT37" s="1">
        <v>0.41</v>
      </c>
      <c r="AU37" s="1">
        <v>1.03</v>
      </c>
      <c r="AV37" s="1" t="s">
        <v>1</v>
      </c>
      <c r="AW37" s="1">
        <v>0.65</v>
      </c>
      <c r="AX37" s="1">
        <v>0.41</v>
      </c>
      <c r="AY37" s="1">
        <v>1.03</v>
      </c>
      <c r="AZ37" s="1">
        <v>6.7000000000000004E-2</v>
      </c>
      <c r="BA37" s="1" t="s">
        <v>0</v>
      </c>
      <c r="BB37" s="1"/>
      <c r="BC37" s="1"/>
      <c r="BD37" s="1"/>
      <c r="BE37" s="1" t="s">
        <v>0</v>
      </c>
      <c r="BF37" s="1" t="s">
        <v>0</v>
      </c>
    </row>
    <row r="38" spans="1:58" x14ac:dyDescent="0.25">
      <c r="A38" s="1" t="s">
        <v>1437</v>
      </c>
      <c r="B38" s="1" t="s">
        <v>230</v>
      </c>
      <c r="C38" s="1" t="s">
        <v>229</v>
      </c>
      <c r="D38" s="1">
        <v>2019</v>
      </c>
      <c r="E38" s="1" t="b">
        <v>0</v>
      </c>
      <c r="F38" s="1" t="s">
        <v>1381</v>
      </c>
      <c r="G38" s="1" t="s">
        <v>1380</v>
      </c>
      <c r="H38" s="1" t="s">
        <v>22</v>
      </c>
      <c r="I38" s="1" t="s">
        <v>21</v>
      </c>
      <c r="J38" s="1" t="s">
        <v>20</v>
      </c>
      <c r="K38" s="1" t="s">
        <v>228</v>
      </c>
      <c r="L38" s="1" t="s">
        <v>228</v>
      </c>
      <c r="M38" s="1" t="s">
        <v>18</v>
      </c>
      <c r="N38" s="1" t="s">
        <v>43</v>
      </c>
      <c r="O38" s="1" t="s">
        <v>42</v>
      </c>
      <c r="P38" s="1" t="s">
        <v>15</v>
      </c>
      <c r="Q38" s="1" t="s">
        <v>1526</v>
      </c>
      <c r="R38" s="1" t="s">
        <v>2</v>
      </c>
      <c r="S38" s="1" t="s">
        <v>21</v>
      </c>
      <c r="T38" s="1">
        <v>1</v>
      </c>
      <c r="U38" s="1" t="s">
        <v>41</v>
      </c>
      <c r="V38" s="1" t="s">
        <v>53</v>
      </c>
      <c r="W38" s="1" t="s">
        <v>13</v>
      </c>
      <c r="X38" s="1" t="s">
        <v>227</v>
      </c>
      <c r="Y38" s="1">
        <f>Table1[[#This Row],[hiv_num]]/Table1[[#This Row],[analytical_sample_size]]</f>
        <v>0.24390243902439024</v>
      </c>
      <c r="Z38" s="1" t="s">
        <v>11</v>
      </c>
      <c r="AA38" s="1" t="s">
        <v>226</v>
      </c>
      <c r="AB38" s="1" t="s">
        <v>226</v>
      </c>
      <c r="AC38" s="1" t="s">
        <v>14</v>
      </c>
      <c r="AD38" s="1" t="s">
        <v>53</v>
      </c>
      <c r="AE38" s="1" t="s">
        <v>8</v>
      </c>
      <c r="AF38" s="1" t="s">
        <v>225</v>
      </c>
      <c r="AG38" s="1">
        <f>202/(202+1747)</f>
        <v>0.10364289379168805</v>
      </c>
      <c r="AH38" s="1" t="s">
        <v>26</v>
      </c>
      <c r="AI38" s="1" t="s">
        <v>36</v>
      </c>
      <c r="AJ38" s="1" t="s">
        <v>224</v>
      </c>
      <c r="AK38" s="1"/>
      <c r="AL38" s="1"/>
      <c r="AM38" s="1"/>
      <c r="AN38" s="1"/>
      <c r="AO38" s="1"/>
      <c r="AP38" s="1"/>
      <c r="AQ38" s="1" t="s">
        <v>2</v>
      </c>
      <c r="AR38" s="1" t="s">
        <v>1</v>
      </c>
      <c r="AS38" s="1">
        <v>1.06</v>
      </c>
      <c r="AT38" s="1">
        <v>0.69</v>
      </c>
      <c r="AU38" s="1">
        <v>1.61</v>
      </c>
      <c r="AV38" s="1" t="s">
        <v>1</v>
      </c>
      <c r="AW38" s="1">
        <v>1.06</v>
      </c>
      <c r="AX38" s="1">
        <v>0.69</v>
      </c>
      <c r="AY38" s="1">
        <v>1.61</v>
      </c>
      <c r="AZ38" s="1" t="s">
        <v>223</v>
      </c>
      <c r="BA38" s="1" t="s">
        <v>0</v>
      </c>
      <c r="BB38" s="1"/>
      <c r="BC38" s="1"/>
      <c r="BD38" s="1"/>
      <c r="BE38" s="1" t="s">
        <v>0</v>
      </c>
      <c r="BF38" s="1" t="s">
        <v>0</v>
      </c>
    </row>
    <row r="39" spans="1:58" x14ac:dyDescent="0.25">
      <c r="A39" s="1" t="s">
        <v>222</v>
      </c>
      <c r="B39" s="1" t="s">
        <v>221</v>
      </c>
      <c r="C39" s="1" t="s">
        <v>220</v>
      </c>
      <c r="D39" s="1">
        <v>2011</v>
      </c>
      <c r="E39" s="1" t="b">
        <v>1</v>
      </c>
      <c r="F39" s="1" t="s">
        <v>1380</v>
      </c>
      <c r="G39" s="1" t="s">
        <v>1380</v>
      </c>
      <c r="H39" s="1" t="s">
        <v>22</v>
      </c>
      <c r="I39" s="1" t="s">
        <v>21</v>
      </c>
      <c r="J39" s="1" t="s">
        <v>20</v>
      </c>
      <c r="K39" s="1">
        <v>800</v>
      </c>
      <c r="L39" s="1">
        <v>629</v>
      </c>
      <c r="M39" s="1" t="s">
        <v>148</v>
      </c>
      <c r="N39" s="1" t="s">
        <v>218</v>
      </c>
      <c r="O39" s="1" t="s">
        <v>217</v>
      </c>
      <c r="P39" s="1" t="s">
        <v>15</v>
      </c>
      <c r="Q39" s="1" t="s">
        <v>1527</v>
      </c>
      <c r="R39" s="1" t="s">
        <v>35</v>
      </c>
      <c r="S39" s="1" t="s">
        <v>21</v>
      </c>
      <c r="T39" s="1">
        <v>1</v>
      </c>
      <c r="U39" s="1" t="s">
        <v>112</v>
      </c>
      <c r="V39" s="1" t="s">
        <v>53</v>
      </c>
      <c r="W39" s="1" t="s">
        <v>13</v>
      </c>
      <c r="X39" s="1" t="s">
        <v>216</v>
      </c>
      <c r="Y39" s="1" t="s">
        <v>215</v>
      </c>
      <c r="Z39" s="1" t="s">
        <v>11</v>
      </c>
      <c r="AA39" s="1" t="s">
        <v>214</v>
      </c>
      <c r="AB39" s="1" t="s">
        <v>214</v>
      </c>
      <c r="AC39" s="1" t="s">
        <v>9</v>
      </c>
      <c r="AD39" s="1" t="s">
        <v>9</v>
      </c>
      <c r="AE39" s="1" t="s">
        <v>8</v>
      </c>
      <c r="AF39" s="1">
        <v>202</v>
      </c>
      <c r="AG39" s="1">
        <f>202/800</f>
        <v>0.2525</v>
      </c>
      <c r="AH39" s="1" t="s">
        <v>6</v>
      </c>
      <c r="AI39" s="1" t="s">
        <v>627</v>
      </c>
      <c r="AJ39" s="1" t="s">
        <v>1441</v>
      </c>
      <c r="AK39" s="1"/>
      <c r="AL39" s="1"/>
      <c r="AM39" s="1"/>
      <c r="AN39" s="1"/>
      <c r="AO39" s="1"/>
      <c r="AP39" s="1"/>
      <c r="AQ39" s="1" t="s">
        <v>35</v>
      </c>
      <c r="AR39" s="1" t="s">
        <v>1</v>
      </c>
      <c r="AS39" s="10">
        <v>2.2999999999999998</v>
      </c>
      <c r="AT39" s="10">
        <v>0.9</v>
      </c>
      <c r="AU39" s="10">
        <v>5.8</v>
      </c>
      <c r="AV39" s="1" t="s">
        <v>1</v>
      </c>
      <c r="AW39" s="1">
        <v>2.2599999999999998</v>
      </c>
      <c r="AX39" s="1">
        <v>0.92</v>
      </c>
      <c r="AY39" s="1">
        <v>5.58</v>
      </c>
      <c r="AZ39" s="1">
        <v>7.5999999999999998E-2</v>
      </c>
      <c r="BA39" s="1" t="s">
        <v>1</v>
      </c>
      <c r="BB39" s="10">
        <v>2.2999999999999998</v>
      </c>
      <c r="BC39" s="10">
        <v>0.9</v>
      </c>
      <c r="BD39" s="10">
        <v>5.8</v>
      </c>
      <c r="BE39" s="1">
        <v>7.0000000000000007E-2</v>
      </c>
      <c r="BF39" s="1" t="s">
        <v>212</v>
      </c>
    </row>
    <row r="40" spans="1:58" x14ac:dyDescent="0.25">
      <c r="A40" s="1" t="s">
        <v>222</v>
      </c>
      <c r="B40" s="1" t="s">
        <v>221</v>
      </c>
      <c r="C40" s="1" t="s">
        <v>220</v>
      </c>
      <c r="D40" s="1">
        <v>2011</v>
      </c>
      <c r="E40" s="1" t="b">
        <v>1</v>
      </c>
      <c r="F40" s="1" t="s">
        <v>1380</v>
      </c>
      <c r="G40" s="1" t="s">
        <v>1380</v>
      </c>
      <c r="H40" s="1" t="s">
        <v>22</v>
      </c>
      <c r="I40" s="1" t="s">
        <v>21</v>
      </c>
      <c r="J40" s="1" t="s">
        <v>20</v>
      </c>
      <c r="K40" s="1">
        <v>800</v>
      </c>
      <c r="L40" s="1" t="s">
        <v>219</v>
      </c>
      <c r="M40" s="1" t="s">
        <v>148</v>
      </c>
      <c r="N40" s="1" t="s">
        <v>218</v>
      </c>
      <c r="O40" s="1" t="s">
        <v>217</v>
      </c>
      <c r="P40" s="1" t="s">
        <v>15</v>
      </c>
      <c r="Q40" s="1" t="s">
        <v>1527</v>
      </c>
      <c r="R40" s="1" t="s">
        <v>35</v>
      </c>
      <c r="S40" s="1" t="s">
        <v>21</v>
      </c>
      <c r="T40" s="1">
        <v>1</v>
      </c>
      <c r="U40" s="1" t="s">
        <v>112</v>
      </c>
      <c r="V40" s="1" t="s">
        <v>53</v>
      </c>
      <c r="W40" s="1" t="s">
        <v>13</v>
      </c>
      <c r="X40" s="1" t="s">
        <v>216</v>
      </c>
      <c r="Y40" s="1" t="s">
        <v>215</v>
      </c>
      <c r="Z40" s="1" t="s">
        <v>11</v>
      </c>
      <c r="AA40" s="1" t="s">
        <v>214</v>
      </c>
      <c r="AB40" s="1" t="s">
        <v>214</v>
      </c>
      <c r="AC40" s="1" t="s">
        <v>9</v>
      </c>
      <c r="AD40" s="1" t="s">
        <v>9</v>
      </c>
      <c r="AE40" s="1" t="s">
        <v>8</v>
      </c>
      <c r="AF40" s="1">
        <v>202</v>
      </c>
      <c r="AG40" s="1">
        <f>202/800</f>
        <v>0.2525</v>
      </c>
      <c r="AH40" s="1" t="s">
        <v>26</v>
      </c>
      <c r="AI40" s="1" t="s">
        <v>36</v>
      </c>
      <c r="AJ40" s="1" t="s">
        <v>213</v>
      </c>
      <c r="AK40" s="1"/>
      <c r="AL40" s="1"/>
      <c r="AM40" s="1"/>
      <c r="AN40" s="1"/>
      <c r="AO40" s="1"/>
      <c r="AP40" s="1"/>
      <c r="AQ40" s="1" t="s">
        <v>35</v>
      </c>
      <c r="AR40" s="1" t="s">
        <v>1</v>
      </c>
      <c r="AS40" s="10">
        <v>2.2000000000000002</v>
      </c>
      <c r="AT40" s="10">
        <v>1.5</v>
      </c>
      <c r="AU40" s="10">
        <v>3.2</v>
      </c>
      <c r="AV40" s="1" t="s">
        <v>1</v>
      </c>
      <c r="AW40" s="1">
        <v>2.21</v>
      </c>
      <c r="AX40" s="1">
        <v>1.55</v>
      </c>
      <c r="AY40" s="1">
        <v>3.13</v>
      </c>
      <c r="AZ40" s="1" t="s">
        <v>60</v>
      </c>
      <c r="BA40" s="1" t="s">
        <v>1</v>
      </c>
      <c r="BB40" s="1">
        <v>2.2000000000000002</v>
      </c>
      <c r="BC40" s="1">
        <v>1.5</v>
      </c>
      <c r="BD40" s="1">
        <v>3.2</v>
      </c>
      <c r="BE40" s="1" t="s">
        <v>60</v>
      </c>
      <c r="BF40" s="1" t="s">
        <v>212</v>
      </c>
    </row>
    <row r="41" spans="1:58" x14ac:dyDescent="0.25">
      <c r="A41" s="1" t="s">
        <v>211</v>
      </c>
      <c r="B41" s="1" t="s">
        <v>210</v>
      </c>
      <c r="C41" s="1" t="s">
        <v>202</v>
      </c>
      <c r="D41" s="1">
        <v>2017</v>
      </c>
      <c r="E41" s="1" t="b">
        <v>0</v>
      </c>
      <c r="F41" s="1" t="s">
        <v>1380</v>
      </c>
      <c r="G41" s="1" t="s">
        <v>1380</v>
      </c>
      <c r="H41" s="1" t="s">
        <v>22</v>
      </c>
      <c r="I41" s="1" t="s">
        <v>21</v>
      </c>
      <c r="J41" s="1" t="s">
        <v>20</v>
      </c>
      <c r="K41" s="1">
        <v>459</v>
      </c>
      <c r="L41" s="1" t="s">
        <v>209</v>
      </c>
      <c r="M41" s="1" t="s">
        <v>148</v>
      </c>
      <c r="N41" s="1" t="s">
        <v>208</v>
      </c>
      <c r="O41" s="1" t="s">
        <v>42</v>
      </c>
      <c r="P41" s="1" t="s">
        <v>133</v>
      </c>
      <c r="Q41" s="1" t="s">
        <v>1527</v>
      </c>
      <c r="R41" s="1" t="s">
        <v>2</v>
      </c>
      <c r="S41" s="1" t="s">
        <v>21</v>
      </c>
      <c r="T41" s="1">
        <v>0</v>
      </c>
      <c r="U41" s="1" t="s">
        <v>145</v>
      </c>
      <c r="V41" s="1" t="s">
        <v>53</v>
      </c>
      <c r="W41" s="1" t="s">
        <v>13</v>
      </c>
      <c r="X41" s="1" t="s">
        <v>207</v>
      </c>
      <c r="Y41" s="1">
        <f>Table1[[#This Row],[hiv_num]]/Table1[[#This Row],[analytical_sample_size]]</f>
        <v>1.3071895424836602E-2</v>
      </c>
      <c r="Z41" s="1" t="s">
        <v>11</v>
      </c>
      <c r="AA41" s="1" t="s">
        <v>186</v>
      </c>
      <c r="AB41" s="1" t="s">
        <v>186</v>
      </c>
      <c r="AC41" s="1" t="s">
        <v>9</v>
      </c>
      <c r="AD41" s="1" t="s">
        <v>9</v>
      </c>
      <c r="AE41" s="1" t="s">
        <v>8</v>
      </c>
      <c r="AF41" s="1" t="s">
        <v>206</v>
      </c>
      <c r="AG41" s="1">
        <f>82/(82+263)</f>
        <v>0.23768115942028986</v>
      </c>
      <c r="AH41" s="1" t="s">
        <v>26</v>
      </c>
      <c r="AI41" s="1" t="s">
        <v>36</v>
      </c>
      <c r="AJ41" s="1" t="s">
        <v>36</v>
      </c>
      <c r="AK41" s="1"/>
      <c r="AL41" s="1"/>
      <c r="AM41" s="1"/>
      <c r="AN41" s="1"/>
      <c r="AO41" s="1"/>
      <c r="AP41" s="1"/>
      <c r="AQ41" s="1" t="s">
        <v>2</v>
      </c>
      <c r="AR41" s="1" t="s">
        <v>1</v>
      </c>
      <c r="AS41" s="1">
        <v>1.07</v>
      </c>
      <c r="AT41" s="1">
        <v>0.11</v>
      </c>
      <c r="AU41" s="1">
        <v>10.43</v>
      </c>
      <c r="AV41" s="1" t="s">
        <v>1</v>
      </c>
      <c r="AW41" s="1">
        <v>1.07</v>
      </c>
      <c r="AX41" s="1">
        <v>0.11</v>
      </c>
      <c r="AY41" s="1">
        <v>10.43</v>
      </c>
      <c r="AZ41" s="1" t="s">
        <v>205</v>
      </c>
      <c r="BA41" s="1" t="s">
        <v>0</v>
      </c>
      <c r="BB41" s="1"/>
      <c r="BC41" s="1"/>
      <c r="BD41" s="1"/>
      <c r="BE41" s="1" t="s">
        <v>0</v>
      </c>
      <c r="BF41" s="1"/>
    </row>
    <row r="42" spans="1:58" x14ac:dyDescent="0.25">
      <c r="A42" s="1" t="s">
        <v>194</v>
      </c>
      <c r="B42" s="1" t="s">
        <v>193</v>
      </c>
      <c r="C42" s="1" t="s">
        <v>192</v>
      </c>
      <c r="D42" s="1">
        <v>2015</v>
      </c>
      <c r="E42" s="1" t="b">
        <v>1</v>
      </c>
      <c r="F42" s="1" t="s">
        <v>1380</v>
      </c>
      <c r="G42" s="1" t="s">
        <v>1380</v>
      </c>
      <c r="H42" s="1" t="s">
        <v>22</v>
      </c>
      <c r="I42" s="1" t="s">
        <v>21</v>
      </c>
      <c r="J42" s="1" t="s">
        <v>20</v>
      </c>
      <c r="K42" s="1">
        <v>319</v>
      </c>
      <c r="L42" s="1" t="s">
        <v>191</v>
      </c>
      <c r="M42" s="1" t="s">
        <v>278</v>
      </c>
      <c r="N42" s="1" t="s">
        <v>190</v>
      </c>
      <c r="O42" s="1" t="s">
        <v>189</v>
      </c>
      <c r="P42" s="1" t="s">
        <v>15</v>
      </c>
      <c r="Q42" s="1" t="s">
        <v>1526</v>
      </c>
      <c r="R42" s="1" t="s">
        <v>35</v>
      </c>
      <c r="S42" s="1" t="s">
        <v>21</v>
      </c>
      <c r="T42" s="1">
        <v>2</v>
      </c>
      <c r="U42" s="1" t="s">
        <v>145</v>
      </c>
      <c r="V42" s="1" t="s">
        <v>53</v>
      </c>
      <c r="W42" s="1" t="s">
        <v>13</v>
      </c>
      <c r="X42" s="1" t="s">
        <v>188</v>
      </c>
      <c r="Y42" s="1" t="s">
        <v>187</v>
      </c>
      <c r="Z42" s="1" t="s">
        <v>11</v>
      </c>
      <c r="AA42" s="1" t="s">
        <v>186</v>
      </c>
      <c r="AB42" s="1" t="s">
        <v>186</v>
      </c>
      <c r="AC42" s="1" t="s">
        <v>9</v>
      </c>
      <c r="AD42" s="1" t="s">
        <v>9</v>
      </c>
      <c r="AE42" s="1" t="s">
        <v>8</v>
      </c>
      <c r="AF42" s="1" t="s">
        <v>185</v>
      </c>
      <c r="AG42" s="1" t="s">
        <v>184</v>
      </c>
      <c r="AH42" s="1" t="s">
        <v>26</v>
      </c>
      <c r="AI42" s="1" t="s">
        <v>36</v>
      </c>
      <c r="AJ42" s="1" t="s">
        <v>36</v>
      </c>
      <c r="AK42" s="1"/>
      <c r="AL42" s="1"/>
      <c r="AM42" s="1"/>
      <c r="AN42" s="1"/>
      <c r="AO42" s="1"/>
      <c r="AP42" s="1"/>
      <c r="AQ42" s="1" t="s">
        <v>35</v>
      </c>
      <c r="AR42" s="1" t="s">
        <v>1</v>
      </c>
      <c r="AS42" s="1">
        <v>2.2000000000000002</v>
      </c>
      <c r="AT42" s="1">
        <v>1.4</v>
      </c>
      <c r="AU42" s="1">
        <v>6.3</v>
      </c>
      <c r="AV42" s="1" t="s">
        <v>1</v>
      </c>
      <c r="AW42" s="1">
        <v>3.1</v>
      </c>
      <c r="AX42" s="1">
        <v>1.4</v>
      </c>
      <c r="AY42" s="1">
        <v>6.7</v>
      </c>
      <c r="AZ42" s="1" t="s">
        <v>183</v>
      </c>
      <c r="BA42" s="1" t="s">
        <v>1</v>
      </c>
      <c r="BB42" s="1">
        <v>2.2000000000000002</v>
      </c>
      <c r="BC42" s="1">
        <v>1.4</v>
      </c>
      <c r="BD42" s="1">
        <v>6.3</v>
      </c>
      <c r="BE42" s="1" t="s">
        <v>183</v>
      </c>
      <c r="BF42" s="1" t="s">
        <v>0</v>
      </c>
    </row>
    <row r="43" spans="1:58" x14ac:dyDescent="0.25">
      <c r="A43" s="1" t="s">
        <v>176</v>
      </c>
      <c r="B43" s="1" t="s">
        <v>175</v>
      </c>
      <c r="C43" s="1" t="s">
        <v>174</v>
      </c>
      <c r="D43" s="1">
        <v>2019</v>
      </c>
      <c r="E43" s="1" t="b">
        <v>0</v>
      </c>
      <c r="F43" s="1" t="s">
        <v>1381</v>
      </c>
      <c r="G43" s="1" t="s">
        <v>1380</v>
      </c>
      <c r="H43" s="1" t="s">
        <v>22</v>
      </c>
      <c r="I43" s="1" t="s">
        <v>21</v>
      </c>
      <c r="J43" s="1" t="s">
        <v>20</v>
      </c>
      <c r="K43" s="1">
        <v>503</v>
      </c>
      <c r="L43" s="1">
        <v>502</v>
      </c>
      <c r="M43" s="1" t="s">
        <v>18</v>
      </c>
      <c r="N43" s="1" t="s">
        <v>117</v>
      </c>
      <c r="O43" s="1" t="s">
        <v>42</v>
      </c>
      <c r="P43" s="1" t="s">
        <v>15</v>
      </c>
      <c r="Q43" s="1" t="s">
        <v>1526</v>
      </c>
      <c r="R43" s="1" t="s">
        <v>2</v>
      </c>
      <c r="S43" s="1" t="s">
        <v>21</v>
      </c>
      <c r="T43" s="1">
        <v>1</v>
      </c>
      <c r="U43" s="1" t="s">
        <v>112</v>
      </c>
      <c r="V43" s="1" t="s">
        <v>53</v>
      </c>
      <c r="W43" s="1" t="s">
        <v>13</v>
      </c>
      <c r="X43" s="1">
        <f>19+154</f>
        <v>173</v>
      </c>
      <c r="Y43" s="1">
        <f>Table1[[#This Row],[hiv_num]]/Table1[[#This Row],[analytical_sample_size]]</f>
        <v>0.34462151394422313</v>
      </c>
      <c r="Z43" s="1" t="s">
        <v>80</v>
      </c>
      <c r="AA43" s="1" t="s">
        <v>182</v>
      </c>
      <c r="AB43" s="1" t="s">
        <v>80</v>
      </c>
      <c r="AC43" s="1" t="s">
        <v>9</v>
      </c>
      <c r="AD43" s="1" t="s">
        <v>9</v>
      </c>
      <c r="AE43" s="1" t="s">
        <v>63</v>
      </c>
      <c r="AF43" s="1" t="s">
        <v>181</v>
      </c>
      <c r="AG43" s="1">
        <f>Table1[[#This Row],[exposed_num]]/Table1[[#This Row],[analytical_sample_size]]</f>
        <v>0.2908366533864542</v>
      </c>
      <c r="AH43" s="1" t="s">
        <v>26</v>
      </c>
      <c r="AI43" s="1" t="s">
        <v>36</v>
      </c>
      <c r="AJ43" s="1" t="s">
        <v>157</v>
      </c>
      <c r="AK43" s="1"/>
      <c r="AL43" s="1"/>
      <c r="AM43" s="1"/>
      <c r="AN43" s="1"/>
      <c r="AO43" s="1"/>
      <c r="AP43" s="1"/>
      <c r="AQ43" s="1" t="s">
        <v>2</v>
      </c>
      <c r="AR43" s="1" t="s">
        <v>1</v>
      </c>
      <c r="AS43" s="1">
        <v>1.08</v>
      </c>
      <c r="AT43" s="1">
        <v>0.54</v>
      </c>
      <c r="AU43" s="1">
        <v>1.77</v>
      </c>
      <c r="AV43" s="1" t="s">
        <v>1</v>
      </c>
      <c r="AW43" s="1">
        <v>1.08</v>
      </c>
      <c r="AX43" s="1">
        <v>0.54</v>
      </c>
      <c r="AY43" s="1">
        <v>1.77</v>
      </c>
      <c r="AZ43" s="1" t="s">
        <v>180</v>
      </c>
      <c r="BA43" s="1" t="s">
        <v>0</v>
      </c>
      <c r="BB43" s="1"/>
      <c r="BC43" s="1"/>
      <c r="BD43" s="1"/>
      <c r="BE43" s="1" t="s">
        <v>0</v>
      </c>
      <c r="BF43" s="1" t="s">
        <v>0</v>
      </c>
    </row>
    <row r="44" spans="1:58" x14ac:dyDescent="0.25">
      <c r="A44" s="1" t="s">
        <v>176</v>
      </c>
      <c r="B44" s="1" t="s">
        <v>175</v>
      </c>
      <c r="C44" s="1" t="s">
        <v>174</v>
      </c>
      <c r="D44" s="1">
        <v>2019</v>
      </c>
      <c r="E44" s="1" t="b">
        <v>0</v>
      </c>
      <c r="F44" s="1" t="s">
        <v>1381</v>
      </c>
      <c r="G44" s="1" t="s">
        <v>1380</v>
      </c>
      <c r="H44" s="1" t="s">
        <v>22</v>
      </c>
      <c r="I44" s="1" t="s">
        <v>21</v>
      </c>
      <c r="J44" s="1" t="s">
        <v>20</v>
      </c>
      <c r="K44" s="1">
        <v>503</v>
      </c>
      <c r="L44" s="1">
        <v>502</v>
      </c>
      <c r="M44" s="1" t="s">
        <v>18</v>
      </c>
      <c r="N44" s="1" t="s">
        <v>117</v>
      </c>
      <c r="O44" s="1" t="s">
        <v>42</v>
      </c>
      <c r="P44" s="1" t="s">
        <v>15</v>
      </c>
      <c r="Q44" s="1" t="s">
        <v>1526</v>
      </c>
      <c r="R44" s="1" t="s">
        <v>2</v>
      </c>
      <c r="S44" s="1" t="s">
        <v>21</v>
      </c>
      <c r="T44" s="1">
        <v>1</v>
      </c>
      <c r="U44" s="1" t="s">
        <v>112</v>
      </c>
      <c r="V44" s="1" t="s">
        <v>53</v>
      </c>
      <c r="W44" s="1" t="s">
        <v>13</v>
      </c>
      <c r="X44" s="1">
        <f>19+154</f>
        <v>173</v>
      </c>
      <c r="Y44" s="1">
        <f>Table1[[#This Row],[hiv_num]]/Table1[[#This Row],[analytical_sample_size]]</f>
        <v>0.34462151394422313</v>
      </c>
      <c r="Z44" s="1" t="s">
        <v>80</v>
      </c>
      <c r="AA44" s="1" t="s">
        <v>179</v>
      </c>
      <c r="AB44" s="1" t="s">
        <v>80</v>
      </c>
      <c r="AC44" s="1" t="s">
        <v>9</v>
      </c>
      <c r="AD44" s="1" t="s">
        <v>9</v>
      </c>
      <c r="AE44" s="1" t="s">
        <v>160</v>
      </c>
      <c r="AF44" s="1" t="s">
        <v>178</v>
      </c>
      <c r="AG44" s="1">
        <f>Table1[[#This Row],[exposed_num]]/Table1[[#This Row],[analytical_sample_size]]</f>
        <v>0.46414342629482069</v>
      </c>
      <c r="AH44" s="1" t="s">
        <v>26</v>
      </c>
      <c r="AI44" s="1" t="s">
        <v>36</v>
      </c>
      <c r="AJ44" s="1" t="s">
        <v>157</v>
      </c>
      <c r="AK44" s="1"/>
      <c r="AL44" s="1"/>
      <c r="AM44" s="1"/>
      <c r="AN44" s="1"/>
      <c r="AO44" s="1"/>
      <c r="AP44" s="1"/>
      <c r="AQ44" s="1" t="s">
        <v>2</v>
      </c>
      <c r="AR44" s="1" t="s">
        <v>1</v>
      </c>
      <c r="AS44" s="1">
        <v>0.97</v>
      </c>
      <c r="AT44" s="1">
        <v>0.57999999999999996</v>
      </c>
      <c r="AU44" s="1">
        <v>1.63</v>
      </c>
      <c r="AV44" s="1" t="s">
        <v>1</v>
      </c>
      <c r="AW44" s="1">
        <v>0.97</v>
      </c>
      <c r="AX44" s="1">
        <v>0.57999999999999996</v>
      </c>
      <c r="AY44" s="1">
        <v>1.63</v>
      </c>
      <c r="AZ44" s="1" t="s">
        <v>177</v>
      </c>
      <c r="BA44" s="1" t="s">
        <v>0</v>
      </c>
      <c r="BB44" s="1"/>
      <c r="BC44" s="1"/>
      <c r="BD44" s="1"/>
      <c r="BE44" s="1" t="s">
        <v>0</v>
      </c>
      <c r="BF44" s="1" t="s">
        <v>0</v>
      </c>
    </row>
    <row r="45" spans="1:58" x14ac:dyDescent="0.25">
      <c r="A45" s="1" t="s">
        <v>176</v>
      </c>
      <c r="B45" s="1" t="s">
        <v>175</v>
      </c>
      <c r="C45" s="1" t="s">
        <v>174</v>
      </c>
      <c r="D45" s="1">
        <v>2019</v>
      </c>
      <c r="E45" s="1" t="b">
        <v>0</v>
      </c>
      <c r="F45" s="1" t="s">
        <v>1381</v>
      </c>
      <c r="G45" s="1" t="s">
        <v>1380</v>
      </c>
      <c r="H45" s="1" t="s">
        <v>22</v>
      </c>
      <c r="I45" s="1" t="s">
        <v>21</v>
      </c>
      <c r="J45" s="1" t="s">
        <v>20</v>
      </c>
      <c r="K45" s="1">
        <v>503</v>
      </c>
      <c r="L45" s="1">
        <v>502</v>
      </c>
      <c r="M45" s="1" t="s">
        <v>18</v>
      </c>
      <c r="N45" s="1" t="s">
        <v>117</v>
      </c>
      <c r="O45" s="1" t="s">
        <v>42</v>
      </c>
      <c r="P45" s="1" t="s">
        <v>15</v>
      </c>
      <c r="Q45" s="1" t="s">
        <v>1526</v>
      </c>
      <c r="R45" s="1" t="s">
        <v>2</v>
      </c>
      <c r="S45" s="1" t="s">
        <v>21</v>
      </c>
      <c r="T45" s="1">
        <v>1</v>
      </c>
      <c r="U45" s="1" t="s">
        <v>112</v>
      </c>
      <c r="V45" s="1" t="s">
        <v>53</v>
      </c>
      <c r="W45" s="1" t="s">
        <v>13</v>
      </c>
      <c r="X45" s="1">
        <f>19+154</f>
        <v>173</v>
      </c>
      <c r="Y45" s="1">
        <f>Table1[[#This Row],[hiv_num]]/Table1[[#This Row],[analytical_sample_size]]</f>
        <v>0.34462151394422313</v>
      </c>
      <c r="Z45" s="1" t="s">
        <v>11</v>
      </c>
      <c r="AA45" s="1" t="s">
        <v>173</v>
      </c>
      <c r="AB45" s="1" t="s">
        <v>173</v>
      </c>
      <c r="AC45" s="1" t="s">
        <v>9</v>
      </c>
      <c r="AD45" s="1" t="s">
        <v>9</v>
      </c>
      <c r="AE45" s="1" t="s">
        <v>8</v>
      </c>
      <c r="AF45" s="1">
        <v>44</v>
      </c>
      <c r="AG45" s="1">
        <f>Table1[[#This Row],[exposed_num]]/Table1[[#This Row],[analytical_sample_size]]</f>
        <v>8.7649402390438252E-2</v>
      </c>
      <c r="AH45" s="1" t="s">
        <v>26</v>
      </c>
      <c r="AI45" s="1" t="s">
        <v>36</v>
      </c>
      <c r="AJ45" s="1" t="s">
        <v>157</v>
      </c>
      <c r="AK45" s="1"/>
      <c r="AL45" s="1"/>
      <c r="AM45" s="1"/>
      <c r="AN45" s="1"/>
      <c r="AO45" s="1"/>
      <c r="AP45" s="1"/>
      <c r="AQ45" s="1" t="s">
        <v>2</v>
      </c>
      <c r="AR45" s="1" t="s">
        <v>1</v>
      </c>
      <c r="AS45" s="1">
        <v>1.32</v>
      </c>
      <c r="AT45" s="1">
        <v>0.56999999999999995</v>
      </c>
      <c r="AU45" s="1">
        <v>3.06</v>
      </c>
      <c r="AV45" s="1" t="s">
        <v>1</v>
      </c>
      <c r="AW45" s="1">
        <v>1.32</v>
      </c>
      <c r="AX45" s="1">
        <v>0.56999999999999995</v>
      </c>
      <c r="AY45" s="1">
        <v>3.06</v>
      </c>
      <c r="AZ45" s="1" t="s">
        <v>172</v>
      </c>
      <c r="BA45" s="1" t="s">
        <v>0</v>
      </c>
      <c r="BB45" s="1"/>
      <c r="BC45" s="1"/>
      <c r="BD45" s="1"/>
      <c r="BE45" s="1" t="s">
        <v>0</v>
      </c>
      <c r="BF45" s="1" t="s">
        <v>0</v>
      </c>
    </row>
    <row r="46" spans="1:58" x14ac:dyDescent="0.25">
      <c r="A46" s="1" t="s">
        <v>1565</v>
      </c>
      <c r="B46" s="1" t="s">
        <v>1566</v>
      </c>
      <c r="C46" s="1" t="s">
        <v>1567</v>
      </c>
      <c r="D46" s="1">
        <v>2025</v>
      </c>
      <c r="E46" s="1" t="b">
        <v>0</v>
      </c>
      <c r="F46" s="1" t="s">
        <v>1381</v>
      </c>
      <c r="G46" s="1" t="s">
        <v>1380</v>
      </c>
      <c r="H46" s="1" t="s">
        <v>22</v>
      </c>
      <c r="I46" s="1" t="s">
        <v>21</v>
      </c>
      <c r="J46" s="1" t="s">
        <v>20</v>
      </c>
      <c r="K46" s="1">
        <v>223</v>
      </c>
      <c r="L46" s="1">
        <v>223</v>
      </c>
      <c r="M46" s="1" t="s">
        <v>18</v>
      </c>
      <c r="N46" s="1" t="s">
        <v>1568</v>
      </c>
      <c r="O46" s="1" t="s">
        <v>1569</v>
      </c>
      <c r="P46" s="1" t="s">
        <v>15</v>
      </c>
      <c r="Q46" s="1" t="s">
        <v>1526</v>
      </c>
      <c r="R46" s="1" t="s">
        <v>2</v>
      </c>
      <c r="S46" s="1" t="s">
        <v>21</v>
      </c>
      <c r="T46" s="1">
        <v>1</v>
      </c>
      <c r="U46" s="1" t="s">
        <v>112</v>
      </c>
      <c r="V46" s="1" t="s">
        <v>53</v>
      </c>
      <c r="W46" s="1">
        <v>1</v>
      </c>
      <c r="X46" s="1">
        <v>161</v>
      </c>
      <c r="Y46" s="1">
        <f>161/217</f>
        <v>0.74193548387096775</v>
      </c>
      <c r="Z46" s="1" t="s">
        <v>39</v>
      </c>
      <c r="AA46" s="1" t="s">
        <v>1570</v>
      </c>
      <c r="AB46" s="1" t="s">
        <v>1570</v>
      </c>
      <c r="AC46" s="1" t="s">
        <v>9</v>
      </c>
      <c r="AD46" s="1" t="s">
        <v>9</v>
      </c>
      <c r="AE46" s="1" t="s">
        <v>1571</v>
      </c>
      <c r="AF46" s="1">
        <v>118</v>
      </c>
      <c r="AG46" s="1">
        <v>0.54377880184331795</v>
      </c>
      <c r="AH46" s="1" t="s">
        <v>26</v>
      </c>
      <c r="AI46" s="1" t="s">
        <v>36</v>
      </c>
      <c r="AJ46" s="1" t="s">
        <v>56</v>
      </c>
      <c r="AK46" s="1"/>
      <c r="AL46" s="1"/>
      <c r="AM46" s="1"/>
      <c r="AN46" s="1"/>
      <c r="AO46" s="1"/>
      <c r="AP46" s="1"/>
      <c r="AQ46" s="1" t="s">
        <v>2</v>
      </c>
      <c r="AR46" s="1" t="s">
        <v>1</v>
      </c>
      <c r="AS46" s="1">
        <v>0.78</v>
      </c>
      <c r="AT46" s="1">
        <v>0.42</v>
      </c>
      <c r="AU46" s="1">
        <v>1.44</v>
      </c>
      <c r="AV46" s="1" t="s">
        <v>1</v>
      </c>
      <c r="AW46" s="1">
        <v>0.78</v>
      </c>
      <c r="AX46" s="1">
        <v>0.42</v>
      </c>
      <c r="AY46" s="1">
        <v>1.44</v>
      </c>
      <c r="AZ46" s="1">
        <v>0.42799999999999999</v>
      </c>
      <c r="BA46" s="1" t="s">
        <v>0</v>
      </c>
      <c r="BB46" s="1"/>
      <c r="BC46" s="1"/>
      <c r="BD46" s="1"/>
      <c r="BE46" s="1"/>
      <c r="BF46" s="1" t="s">
        <v>0</v>
      </c>
    </row>
    <row r="47" spans="1:58" x14ac:dyDescent="0.25">
      <c r="A47" s="1" t="s">
        <v>168</v>
      </c>
      <c r="B47" s="1" t="s">
        <v>167</v>
      </c>
      <c r="C47" s="1" t="s">
        <v>166</v>
      </c>
      <c r="D47" s="1">
        <v>2017</v>
      </c>
      <c r="E47" s="1" t="b">
        <v>0</v>
      </c>
      <c r="F47" s="1" t="s">
        <v>1380</v>
      </c>
      <c r="G47" s="1" t="s">
        <v>1380</v>
      </c>
      <c r="H47" s="1" t="s">
        <v>22</v>
      </c>
      <c r="I47" s="1" t="s">
        <v>21</v>
      </c>
      <c r="J47" s="1" t="s">
        <v>20</v>
      </c>
      <c r="K47" s="1" t="s">
        <v>165</v>
      </c>
      <c r="L47" s="1" t="s">
        <v>165</v>
      </c>
      <c r="M47" s="1" t="s">
        <v>18</v>
      </c>
      <c r="N47" s="1" t="s">
        <v>147</v>
      </c>
      <c r="O47" s="1" t="s">
        <v>164</v>
      </c>
      <c r="P47" s="1" t="s">
        <v>15</v>
      </c>
      <c r="Q47" s="1" t="s">
        <v>1526</v>
      </c>
      <c r="R47" s="1" t="s">
        <v>2</v>
      </c>
      <c r="S47" s="1" t="s">
        <v>21</v>
      </c>
      <c r="T47" s="1">
        <v>1</v>
      </c>
      <c r="U47" s="1" t="s">
        <v>145</v>
      </c>
      <c r="V47" s="1" t="s">
        <v>53</v>
      </c>
      <c r="W47" s="1" t="s">
        <v>13</v>
      </c>
      <c r="X47" s="1" t="s">
        <v>163</v>
      </c>
      <c r="Y47" s="1" t="s">
        <v>162</v>
      </c>
      <c r="Z47" s="1" t="s">
        <v>39</v>
      </c>
      <c r="AA47" s="1" t="s">
        <v>161</v>
      </c>
      <c r="AB47" s="1" t="s">
        <v>161</v>
      </c>
      <c r="AC47" s="1" t="s">
        <v>9</v>
      </c>
      <c r="AD47" s="1" t="s">
        <v>9</v>
      </c>
      <c r="AE47" s="1" t="s">
        <v>160</v>
      </c>
      <c r="AF47" s="1" t="s">
        <v>159</v>
      </c>
      <c r="AG47" s="1" t="s">
        <v>158</v>
      </c>
      <c r="AH47" s="1" t="s">
        <v>26</v>
      </c>
      <c r="AI47" s="1" t="s">
        <v>36</v>
      </c>
      <c r="AJ47" s="1" t="s">
        <v>157</v>
      </c>
      <c r="AK47" s="1"/>
      <c r="AL47" s="1"/>
      <c r="AM47" s="1"/>
      <c r="AN47" s="1"/>
      <c r="AO47" s="1"/>
      <c r="AP47" s="1"/>
      <c r="AQ47" s="1" t="s">
        <v>2</v>
      </c>
      <c r="AR47" s="1" t="s">
        <v>1</v>
      </c>
      <c r="AS47" s="1">
        <v>0.95</v>
      </c>
      <c r="AT47" s="1">
        <v>0.66</v>
      </c>
      <c r="AU47" s="1">
        <v>1.35</v>
      </c>
      <c r="AV47" s="1" t="s">
        <v>1</v>
      </c>
      <c r="AW47" s="1">
        <v>0.95</v>
      </c>
      <c r="AX47" s="1">
        <v>0.66</v>
      </c>
      <c r="AY47" s="1">
        <v>1.35</v>
      </c>
      <c r="AZ47" s="1" t="s">
        <v>156</v>
      </c>
      <c r="BA47" s="1" t="s">
        <v>0</v>
      </c>
      <c r="BB47" s="1"/>
      <c r="BC47" s="1"/>
      <c r="BD47" s="1"/>
      <c r="BE47" s="1" t="s">
        <v>0</v>
      </c>
      <c r="BF47" s="1" t="s">
        <v>0</v>
      </c>
    </row>
    <row r="48" spans="1:58" x14ac:dyDescent="0.25">
      <c r="A48" s="1" t="s">
        <v>168</v>
      </c>
      <c r="B48" s="1" t="s">
        <v>167</v>
      </c>
      <c r="C48" s="1" t="s">
        <v>166</v>
      </c>
      <c r="D48" s="1">
        <v>2017</v>
      </c>
      <c r="E48" s="1" t="b">
        <v>0</v>
      </c>
      <c r="F48" s="1" t="s">
        <v>1380</v>
      </c>
      <c r="G48" s="1" t="s">
        <v>1380</v>
      </c>
      <c r="H48" s="1" t="s">
        <v>22</v>
      </c>
      <c r="I48" s="1" t="s">
        <v>21</v>
      </c>
      <c r="J48" s="1" t="s">
        <v>20</v>
      </c>
      <c r="K48" s="1" t="s">
        <v>165</v>
      </c>
      <c r="L48" s="1" t="s">
        <v>165</v>
      </c>
      <c r="M48" s="1" t="s">
        <v>18</v>
      </c>
      <c r="N48" s="1" t="s">
        <v>147</v>
      </c>
      <c r="O48" s="1" t="s">
        <v>164</v>
      </c>
      <c r="P48" s="1" t="s">
        <v>15</v>
      </c>
      <c r="Q48" s="1" t="s">
        <v>1526</v>
      </c>
      <c r="R48" s="1" t="s">
        <v>2</v>
      </c>
      <c r="S48" s="1" t="s">
        <v>21</v>
      </c>
      <c r="T48" s="1">
        <v>1</v>
      </c>
      <c r="U48" s="1" t="s">
        <v>145</v>
      </c>
      <c r="V48" s="1" t="s">
        <v>53</v>
      </c>
      <c r="W48" s="1" t="s">
        <v>13</v>
      </c>
      <c r="X48" s="1" t="s">
        <v>163</v>
      </c>
      <c r="Y48" s="1" t="s">
        <v>162</v>
      </c>
      <c r="Z48" s="1" t="s">
        <v>11</v>
      </c>
      <c r="AA48" s="1" t="s">
        <v>171</v>
      </c>
      <c r="AB48" s="1" t="s">
        <v>171</v>
      </c>
      <c r="AC48" s="1" t="s">
        <v>9</v>
      </c>
      <c r="AD48" s="1" t="s">
        <v>9</v>
      </c>
      <c r="AE48" s="1" t="s">
        <v>8</v>
      </c>
      <c r="AF48" s="1" t="s">
        <v>170</v>
      </c>
      <c r="AG48" s="1" t="s">
        <v>169</v>
      </c>
      <c r="AH48" s="1" t="s">
        <v>26</v>
      </c>
      <c r="AI48" s="1" t="s">
        <v>36</v>
      </c>
      <c r="AJ48" s="1" t="s">
        <v>157</v>
      </c>
      <c r="AK48" s="1"/>
      <c r="AL48" s="1"/>
      <c r="AM48" s="1"/>
      <c r="AN48" s="1"/>
      <c r="AO48" s="1"/>
      <c r="AP48" s="1"/>
      <c r="AQ48" s="1" t="s">
        <v>2</v>
      </c>
      <c r="AR48" s="1" t="s">
        <v>1</v>
      </c>
      <c r="AS48" s="1">
        <v>1.64</v>
      </c>
      <c r="AT48" s="1">
        <v>1.1499999999999999</v>
      </c>
      <c r="AU48" s="1">
        <v>2.33</v>
      </c>
      <c r="AV48" s="1" t="s">
        <v>1</v>
      </c>
      <c r="AW48" s="1">
        <v>1.64</v>
      </c>
      <c r="AX48" s="1">
        <v>1.1499999999999999</v>
      </c>
      <c r="AY48" s="1">
        <v>2.33</v>
      </c>
      <c r="AZ48" s="1">
        <v>6.0000000000000001E-3</v>
      </c>
      <c r="BA48" s="1" t="s">
        <v>0</v>
      </c>
      <c r="BB48" s="1"/>
      <c r="BC48" s="1"/>
      <c r="BD48" s="1"/>
      <c r="BE48" s="1" t="s">
        <v>0</v>
      </c>
      <c r="BF48" s="1" t="s">
        <v>0</v>
      </c>
    </row>
    <row r="49" spans="1:58" x14ac:dyDescent="0.25">
      <c r="A49" s="1" t="s">
        <v>151</v>
      </c>
      <c r="B49" s="1" t="s">
        <v>150</v>
      </c>
      <c r="C49" s="1" t="s">
        <v>149</v>
      </c>
      <c r="D49" s="1">
        <v>2024</v>
      </c>
      <c r="E49" s="1" t="b">
        <v>0</v>
      </c>
      <c r="F49" s="1" t="s">
        <v>1381</v>
      </c>
      <c r="G49" s="1" t="s">
        <v>1381</v>
      </c>
      <c r="H49" s="1" t="s">
        <v>22</v>
      </c>
      <c r="I49" s="1" t="s">
        <v>21</v>
      </c>
      <c r="J49" s="1" t="s">
        <v>20</v>
      </c>
      <c r="K49" s="1" t="s">
        <v>144</v>
      </c>
      <c r="L49" s="1" t="s">
        <v>144</v>
      </c>
      <c r="M49" s="1" t="s">
        <v>148</v>
      </c>
      <c r="N49" s="1" t="s">
        <v>147</v>
      </c>
      <c r="O49" s="1" t="s">
        <v>146</v>
      </c>
      <c r="P49" s="1" t="s">
        <v>15</v>
      </c>
      <c r="Q49" s="1" t="s">
        <v>1527</v>
      </c>
      <c r="R49" s="1" t="s">
        <v>35</v>
      </c>
      <c r="S49" s="1" t="s">
        <v>21</v>
      </c>
      <c r="T49" s="1">
        <v>1</v>
      </c>
      <c r="U49" s="1" t="s">
        <v>145</v>
      </c>
      <c r="V49" s="1" t="s">
        <v>53</v>
      </c>
      <c r="W49" s="1" t="s">
        <v>13</v>
      </c>
      <c r="X49" s="1" t="s">
        <v>144</v>
      </c>
      <c r="Y49" s="1" t="s">
        <v>13</v>
      </c>
      <c r="Z49" s="1" t="s">
        <v>80</v>
      </c>
      <c r="AA49" s="1" t="s">
        <v>143</v>
      </c>
      <c r="AB49" s="1" t="s">
        <v>80</v>
      </c>
      <c r="AC49" s="1" t="s">
        <v>9</v>
      </c>
      <c r="AD49" s="1" t="s">
        <v>9</v>
      </c>
      <c r="AE49" s="1" t="s">
        <v>8</v>
      </c>
      <c r="AF49" s="1" t="s">
        <v>142</v>
      </c>
      <c r="AG49" s="1" t="s">
        <v>141</v>
      </c>
      <c r="AH49" s="1" t="s">
        <v>26</v>
      </c>
      <c r="AI49" s="1" t="s">
        <v>5</v>
      </c>
      <c r="AJ49" s="1" t="s">
        <v>140</v>
      </c>
      <c r="AK49" s="1"/>
      <c r="AL49" s="1"/>
      <c r="AM49" s="1"/>
      <c r="AN49" s="1" t="s">
        <v>3</v>
      </c>
      <c r="AO49" s="1"/>
      <c r="AP49" s="1"/>
      <c r="AQ49" s="1" t="s">
        <v>35</v>
      </c>
      <c r="AR49" s="1" t="s">
        <v>139</v>
      </c>
      <c r="AS49" s="1">
        <v>0.99</v>
      </c>
      <c r="AT49" s="1">
        <v>0.82</v>
      </c>
      <c r="AU49" s="1">
        <v>1.2</v>
      </c>
      <c r="AV49" s="1" t="s">
        <v>139</v>
      </c>
      <c r="AW49" s="1">
        <v>0.79</v>
      </c>
      <c r="AX49" s="1">
        <v>0.66</v>
      </c>
      <c r="AY49" s="1">
        <v>0.93</v>
      </c>
      <c r="AZ49" s="1" t="s">
        <v>0</v>
      </c>
      <c r="BA49" s="1" t="s">
        <v>139</v>
      </c>
      <c r="BB49" s="1">
        <v>0.99</v>
      </c>
      <c r="BC49" s="1">
        <v>0.82</v>
      </c>
      <c r="BD49" s="1">
        <v>1.2</v>
      </c>
      <c r="BE49" s="1" t="s">
        <v>0</v>
      </c>
      <c r="BF49" s="1" t="s">
        <v>0</v>
      </c>
    </row>
    <row r="50" spans="1:58" x14ac:dyDescent="0.25">
      <c r="A50" s="1" t="s">
        <v>151</v>
      </c>
      <c r="B50" s="1" t="s">
        <v>150</v>
      </c>
      <c r="C50" s="1" t="s">
        <v>149</v>
      </c>
      <c r="D50" s="1">
        <v>2024</v>
      </c>
      <c r="E50" s="1" t="b">
        <v>0</v>
      </c>
      <c r="F50" s="1" t="s">
        <v>1381</v>
      </c>
      <c r="G50" s="1" t="s">
        <v>1381</v>
      </c>
      <c r="H50" s="1" t="s">
        <v>22</v>
      </c>
      <c r="I50" s="1" t="s">
        <v>21</v>
      </c>
      <c r="J50" s="1" t="s">
        <v>20</v>
      </c>
      <c r="K50" s="1" t="s">
        <v>144</v>
      </c>
      <c r="L50" s="1" t="s">
        <v>144</v>
      </c>
      <c r="M50" s="1" t="s">
        <v>148</v>
      </c>
      <c r="N50" s="1" t="s">
        <v>147</v>
      </c>
      <c r="O50" s="1" t="s">
        <v>146</v>
      </c>
      <c r="P50" s="1" t="s">
        <v>15</v>
      </c>
      <c r="Q50" s="1" t="s">
        <v>1527</v>
      </c>
      <c r="R50" s="1" t="s">
        <v>35</v>
      </c>
      <c r="S50" s="1" t="s">
        <v>21</v>
      </c>
      <c r="T50" s="1">
        <v>1</v>
      </c>
      <c r="U50" s="1" t="s">
        <v>145</v>
      </c>
      <c r="V50" s="1" t="s">
        <v>53</v>
      </c>
      <c r="W50" s="1" t="s">
        <v>13</v>
      </c>
      <c r="X50" s="1" t="s">
        <v>144</v>
      </c>
      <c r="Y50" s="1" t="s">
        <v>13</v>
      </c>
      <c r="Z50" s="1" t="s">
        <v>11</v>
      </c>
      <c r="AA50" s="1" t="s">
        <v>155</v>
      </c>
      <c r="AB50" s="1" t="s">
        <v>154</v>
      </c>
      <c r="AC50" s="1" t="s">
        <v>9</v>
      </c>
      <c r="AD50" s="1" t="s">
        <v>9</v>
      </c>
      <c r="AE50" s="1" t="s">
        <v>8</v>
      </c>
      <c r="AF50" s="1" t="s">
        <v>153</v>
      </c>
      <c r="AG50" s="1" t="s">
        <v>152</v>
      </c>
      <c r="AH50" s="1" t="s">
        <v>26</v>
      </c>
      <c r="AI50" s="1" t="s">
        <v>5</v>
      </c>
      <c r="AJ50" s="1" t="s">
        <v>140</v>
      </c>
      <c r="AK50" s="1"/>
      <c r="AL50" s="1"/>
      <c r="AM50" s="1"/>
      <c r="AN50" s="1" t="s">
        <v>3</v>
      </c>
      <c r="AO50" s="1"/>
      <c r="AP50" s="1"/>
      <c r="AQ50" s="1" t="s">
        <v>35</v>
      </c>
      <c r="AR50" s="1" t="s">
        <v>139</v>
      </c>
      <c r="AS50" s="1">
        <v>0.87</v>
      </c>
      <c r="AT50" s="1">
        <v>0.71</v>
      </c>
      <c r="AU50" s="1">
        <v>1.08</v>
      </c>
      <c r="AV50" s="1" t="s">
        <v>139</v>
      </c>
      <c r="AW50" s="1">
        <v>0.71</v>
      </c>
      <c r="AX50" s="1">
        <v>0.59</v>
      </c>
      <c r="AY50" s="1">
        <v>0.85</v>
      </c>
      <c r="AZ50" s="1" t="s">
        <v>0</v>
      </c>
      <c r="BA50" s="1" t="s">
        <v>139</v>
      </c>
      <c r="BB50" s="1">
        <v>0.87</v>
      </c>
      <c r="BC50" s="1">
        <v>0.71</v>
      </c>
      <c r="BD50" s="1">
        <v>1.08</v>
      </c>
      <c r="BE50" s="1" t="s">
        <v>0</v>
      </c>
      <c r="BF50" s="1" t="s">
        <v>0</v>
      </c>
    </row>
    <row r="51" spans="1:58" x14ac:dyDescent="0.25">
      <c r="A51" s="1" t="s">
        <v>138</v>
      </c>
      <c r="B51" s="1" t="s">
        <v>137</v>
      </c>
      <c r="C51" s="1" t="s">
        <v>136</v>
      </c>
      <c r="D51" s="1">
        <v>2011</v>
      </c>
      <c r="E51" s="1" t="b">
        <v>1</v>
      </c>
      <c r="F51" s="1" t="s">
        <v>1380</v>
      </c>
      <c r="G51" s="1" t="s">
        <v>1380</v>
      </c>
      <c r="H51" s="1" t="s">
        <v>22</v>
      </c>
      <c r="I51" s="1" t="s">
        <v>21</v>
      </c>
      <c r="J51" s="1" t="s">
        <v>20</v>
      </c>
      <c r="K51" s="1">
        <v>2523</v>
      </c>
      <c r="L51" s="1" t="s">
        <v>135</v>
      </c>
      <c r="M51" s="1" t="s">
        <v>18</v>
      </c>
      <c r="N51" s="1" t="s">
        <v>134</v>
      </c>
      <c r="O51" s="1" t="s">
        <v>42</v>
      </c>
      <c r="P51" s="1" t="s">
        <v>133</v>
      </c>
      <c r="Q51" s="1" t="s">
        <v>1526</v>
      </c>
      <c r="R51" s="1" t="s">
        <v>2</v>
      </c>
      <c r="S51" s="1" t="s">
        <v>21</v>
      </c>
      <c r="T51" s="1">
        <v>1</v>
      </c>
      <c r="U51" s="1" t="s">
        <v>132</v>
      </c>
      <c r="V51" s="1" t="s">
        <v>53</v>
      </c>
      <c r="W51" s="1" t="s">
        <v>13</v>
      </c>
      <c r="X51" s="1">
        <v>121</v>
      </c>
      <c r="Y51" s="1">
        <v>4.8000000000000001E-2</v>
      </c>
      <c r="Z51" s="1" t="s">
        <v>11</v>
      </c>
      <c r="AA51" s="1" t="s">
        <v>131</v>
      </c>
      <c r="AB51" s="1" t="s">
        <v>130</v>
      </c>
      <c r="AC51" s="1" t="s">
        <v>9</v>
      </c>
      <c r="AD51" s="1" t="s">
        <v>9</v>
      </c>
      <c r="AE51" s="1" t="s">
        <v>8</v>
      </c>
      <c r="AF51" s="1" t="s">
        <v>0</v>
      </c>
      <c r="AG51" s="1" t="s">
        <v>0</v>
      </c>
      <c r="AH51" s="1" t="s">
        <v>26</v>
      </c>
      <c r="AI51" s="1" t="s">
        <v>36</v>
      </c>
      <c r="AJ51" s="1" t="s">
        <v>36</v>
      </c>
      <c r="AK51" s="1"/>
      <c r="AL51" s="1"/>
      <c r="AM51" s="1"/>
      <c r="AN51" s="1"/>
      <c r="AO51" s="1"/>
      <c r="AP51" s="1"/>
      <c r="AQ51" s="1" t="s">
        <v>2</v>
      </c>
      <c r="AR51" s="1" t="s">
        <v>1</v>
      </c>
      <c r="AS51" s="1">
        <v>1.7430000000000001</v>
      </c>
      <c r="AT51" s="1">
        <v>1.002</v>
      </c>
      <c r="AU51" s="1">
        <v>3.03</v>
      </c>
      <c r="AV51" s="1" t="s">
        <v>1</v>
      </c>
      <c r="AW51" s="1">
        <v>1.7430000000000001</v>
      </c>
      <c r="AX51" s="1">
        <v>1.002</v>
      </c>
      <c r="AY51" s="1">
        <v>3.03</v>
      </c>
      <c r="AZ51" s="1">
        <v>4.9000000000000002E-2</v>
      </c>
      <c r="BA51" s="1" t="s">
        <v>0</v>
      </c>
      <c r="BB51" s="1"/>
      <c r="BC51" s="1"/>
      <c r="BD51" s="1"/>
      <c r="BE51" s="1" t="s">
        <v>0</v>
      </c>
      <c r="BF51" s="1" t="s">
        <v>0</v>
      </c>
    </row>
    <row r="52" spans="1:58" x14ac:dyDescent="0.25">
      <c r="A52" s="1" t="s">
        <v>121</v>
      </c>
      <c r="B52" s="1" t="s">
        <v>120</v>
      </c>
      <c r="C52" s="1" t="s">
        <v>119</v>
      </c>
      <c r="D52" s="1">
        <v>2020</v>
      </c>
      <c r="E52" s="1" t="b">
        <v>0</v>
      </c>
      <c r="F52" s="1" t="s">
        <v>1381</v>
      </c>
      <c r="G52" s="1" t="s">
        <v>1380</v>
      </c>
      <c r="H52" s="1" t="s">
        <v>22</v>
      </c>
      <c r="I52" s="1" t="s">
        <v>21</v>
      </c>
      <c r="J52" s="1" t="s">
        <v>20</v>
      </c>
      <c r="K52" s="1">
        <v>2839</v>
      </c>
      <c r="L52" s="1">
        <v>2839</v>
      </c>
      <c r="M52" s="1" t="s">
        <v>18</v>
      </c>
      <c r="N52" s="1" t="s">
        <v>117</v>
      </c>
      <c r="O52" s="1" t="s">
        <v>42</v>
      </c>
      <c r="P52" s="1" t="s">
        <v>15</v>
      </c>
      <c r="Q52" s="1" t="s">
        <v>1526</v>
      </c>
      <c r="R52" s="1" t="s">
        <v>2</v>
      </c>
      <c r="S52" s="1" t="s">
        <v>21</v>
      </c>
      <c r="T52" s="1">
        <v>1</v>
      </c>
      <c r="U52" t="s">
        <v>112</v>
      </c>
      <c r="V52" s="1" t="s">
        <v>53</v>
      </c>
      <c r="W52" s="1" t="s">
        <v>13</v>
      </c>
      <c r="X52" s="1" t="s">
        <v>116</v>
      </c>
      <c r="Y52" s="1" t="s">
        <v>127</v>
      </c>
      <c r="Z52" s="1" t="s">
        <v>39</v>
      </c>
      <c r="AA52" s="1" t="s">
        <v>114</v>
      </c>
      <c r="AB52" s="1" t="s">
        <v>126</v>
      </c>
      <c r="AC52" s="1" t="s">
        <v>112</v>
      </c>
      <c r="AD52" s="1" t="s">
        <v>53</v>
      </c>
      <c r="AE52" s="1" t="s">
        <v>129</v>
      </c>
      <c r="AF52" s="1" t="s">
        <v>111</v>
      </c>
      <c r="AG52" s="1" t="s">
        <v>110</v>
      </c>
      <c r="AH52" s="1" t="s">
        <v>26</v>
      </c>
      <c r="AI52" s="1" t="s">
        <v>30</v>
      </c>
      <c r="AJ52" s="1" t="s">
        <v>49</v>
      </c>
      <c r="AK52" s="1" t="s">
        <v>28</v>
      </c>
      <c r="AL52" s="1" t="s">
        <v>48</v>
      </c>
      <c r="AM52" s="1" t="s">
        <v>26</v>
      </c>
      <c r="AN52" s="1"/>
      <c r="AO52" s="1"/>
      <c r="AP52" s="1"/>
      <c r="AQ52" s="1" t="s">
        <v>2</v>
      </c>
      <c r="AR52" s="1" t="s">
        <v>1</v>
      </c>
      <c r="AS52" s="1">
        <v>0.8</v>
      </c>
      <c r="AT52" s="1">
        <v>0.55000000000000004</v>
      </c>
      <c r="AU52" s="1">
        <v>1.1499999999999999</v>
      </c>
      <c r="AV52" s="1" t="s">
        <v>1</v>
      </c>
      <c r="AW52" s="1">
        <v>0.8</v>
      </c>
      <c r="AX52" s="1">
        <v>0.55000000000000004</v>
      </c>
      <c r="AY52" s="1">
        <v>1.1499999999999999</v>
      </c>
      <c r="AZ52" s="1" t="s">
        <v>128</v>
      </c>
      <c r="BA52" s="1" t="s">
        <v>654</v>
      </c>
      <c r="BB52" s="1">
        <v>0.96</v>
      </c>
      <c r="BC52" s="1">
        <v>0.9</v>
      </c>
      <c r="BD52" s="1">
        <v>1.03</v>
      </c>
      <c r="BE52" s="1" t="s">
        <v>0</v>
      </c>
      <c r="BF52" s="1" t="s">
        <v>0</v>
      </c>
    </row>
    <row r="53" spans="1:58" x14ac:dyDescent="0.25">
      <c r="A53" s="1" t="s">
        <v>121</v>
      </c>
      <c r="B53" s="1" t="s">
        <v>120</v>
      </c>
      <c r="C53" s="1" t="s">
        <v>119</v>
      </c>
      <c r="D53" s="1">
        <v>2020</v>
      </c>
      <c r="E53" s="1" t="b">
        <v>0</v>
      </c>
      <c r="F53" s="1" t="s">
        <v>1381</v>
      </c>
      <c r="G53" s="1" t="s">
        <v>1380</v>
      </c>
      <c r="H53" s="1" t="s">
        <v>22</v>
      </c>
      <c r="I53" s="1" t="s">
        <v>21</v>
      </c>
      <c r="J53" s="1" t="s">
        <v>20</v>
      </c>
      <c r="K53" s="1">
        <v>2839</v>
      </c>
      <c r="L53" s="1">
        <v>2839</v>
      </c>
      <c r="M53" s="1" t="s">
        <v>18</v>
      </c>
      <c r="N53" s="1" t="s">
        <v>117</v>
      </c>
      <c r="O53" s="1" t="s">
        <v>42</v>
      </c>
      <c r="P53" s="1" t="s">
        <v>15</v>
      </c>
      <c r="Q53" s="1" t="s">
        <v>1526</v>
      </c>
      <c r="R53" s="1" t="s">
        <v>2</v>
      </c>
      <c r="S53" s="1" t="s">
        <v>21</v>
      </c>
      <c r="T53" s="1">
        <v>1</v>
      </c>
      <c r="U53" t="s">
        <v>112</v>
      </c>
      <c r="V53" s="1" t="s">
        <v>53</v>
      </c>
      <c r="W53" s="1" t="s">
        <v>13</v>
      </c>
      <c r="X53" s="1" t="s">
        <v>116</v>
      </c>
      <c r="Y53" s="1" t="s">
        <v>115</v>
      </c>
      <c r="Z53" s="1" t="s">
        <v>39</v>
      </c>
      <c r="AA53" s="1" t="s">
        <v>114</v>
      </c>
      <c r="AB53" s="1" t="s">
        <v>113</v>
      </c>
      <c r="AC53" s="1" t="s">
        <v>112</v>
      </c>
      <c r="AD53" s="1" t="s">
        <v>53</v>
      </c>
      <c r="AE53" s="1" t="s">
        <v>8</v>
      </c>
      <c r="AF53" s="1" t="s">
        <v>111</v>
      </c>
      <c r="AG53" s="1" t="s">
        <v>110</v>
      </c>
      <c r="AH53" s="1" t="s">
        <v>6</v>
      </c>
      <c r="AI53" s="1" t="s">
        <v>56</v>
      </c>
      <c r="AJ53" s="1" t="s">
        <v>109</v>
      </c>
      <c r="AK53" s="1"/>
      <c r="AL53" s="1"/>
      <c r="AM53" s="1"/>
      <c r="AN53" s="1"/>
      <c r="AO53" s="1" t="s">
        <v>108</v>
      </c>
      <c r="AP53" s="1" t="s">
        <v>53</v>
      </c>
      <c r="AQ53" s="1" t="s">
        <v>2</v>
      </c>
      <c r="AR53" s="1" t="s">
        <v>1</v>
      </c>
      <c r="AS53" s="1">
        <v>1.07</v>
      </c>
      <c r="AT53" s="1">
        <v>0.8</v>
      </c>
      <c r="AU53" s="1">
        <v>1.43</v>
      </c>
      <c r="AV53" s="1" t="s">
        <v>1</v>
      </c>
      <c r="AW53" s="1">
        <v>1.07</v>
      </c>
      <c r="AX53" s="1">
        <v>0.8</v>
      </c>
      <c r="AY53" s="1">
        <v>1.43</v>
      </c>
      <c r="AZ53" s="1" t="s">
        <v>107</v>
      </c>
      <c r="BA53" s="1" t="s">
        <v>654</v>
      </c>
      <c r="BB53" s="1">
        <v>0.99</v>
      </c>
      <c r="BC53" s="1">
        <v>0.87</v>
      </c>
      <c r="BD53" s="1">
        <v>1.1200000000000001</v>
      </c>
      <c r="BE53" s="1" t="s">
        <v>0</v>
      </c>
      <c r="BF53" s="1" t="s">
        <v>0</v>
      </c>
    </row>
    <row r="54" spans="1:58" x14ac:dyDescent="0.25">
      <c r="A54" s="1" t="s">
        <v>121</v>
      </c>
      <c r="B54" s="1" t="s">
        <v>120</v>
      </c>
      <c r="C54" s="1" t="s">
        <v>119</v>
      </c>
      <c r="D54" s="1">
        <v>2020</v>
      </c>
      <c r="E54" s="1" t="b">
        <v>0</v>
      </c>
      <c r="F54" s="1" t="s">
        <v>1381</v>
      </c>
      <c r="G54" s="1" t="s">
        <v>1380</v>
      </c>
      <c r="H54" s="1" t="s">
        <v>22</v>
      </c>
      <c r="I54" s="1" t="s">
        <v>21</v>
      </c>
      <c r="J54" s="1" t="s">
        <v>20</v>
      </c>
      <c r="K54" s="1">
        <v>2839</v>
      </c>
      <c r="L54" s="1">
        <v>2839</v>
      </c>
      <c r="M54" s="1" t="s">
        <v>18</v>
      </c>
      <c r="N54" s="1" t="s">
        <v>117</v>
      </c>
      <c r="O54" s="1" t="s">
        <v>42</v>
      </c>
      <c r="P54" s="1" t="s">
        <v>15</v>
      </c>
      <c r="Q54" s="1" t="s">
        <v>1526</v>
      </c>
      <c r="R54" s="1" t="s">
        <v>2</v>
      </c>
      <c r="S54" s="1" t="s">
        <v>21</v>
      </c>
      <c r="T54" s="1">
        <v>1</v>
      </c>
      <c r="U54" t="s">
        <v>112</v>
      </c>
      <c r="V54" s="1" t="s">
        <v>53</v>
      </c>
      <c r="W54" s="1" t="s">
        <v>13</v>
      </c>
      <c r="X54" s="1" t="s">
        <v>116</v>
      </c>
      <c r="Y54" s="1" t="s">
        <v>127</v>
      </c>
      <c r="Z54" s="1" t="s">
        <v>39</v>
      </c>
      <c r="AA54" s="1" t="s">
        <v>114</v>
      </c>
      <c r="AB54" s="1" t="s">
        <v>126</v>
      </c>
      <c r="AC54" s="1" t="s">
        <v>112</v>
      </c>
      <c r="AD54" s="1" t="s">
        <v>53</v>
      </c>
      <c r="AE54" s="1" t="s">
        <v>8</v>
      </c>
      <c r="AF54" s="1" t="s">
        <v>111</v>
      </c>
      <c r="AG54" s="1" t="s">
        <v>125</v>
      </c>
      <c r="AH54" s="1" t="s">
        <v>6</v>
      </c>
      <c r="AI54" s="1" t="s">
        <v>5</v>
      </c>
      <c r="AJ54" s="1" t="s">
        <v>124</v>
      </c>
      <c r="AK54" s="1"/>
      <c r="AL54" s="1"/>
      <c r="AM54" s="1"/>
      <c r="AN54" s="1" t="s">
        <v>123</v>
      </c>
      <c r="AO54" s="1"/>
      <c r="AP54" s="1"/>
      <c r="AQ54" s="1" t="s">
        <v>2</v>
      </c>
      <c r="AR54" s="1" t="s">
        <v>1</v>
      </c>
      <c r="AS54" s="1">
        <v>0.87</v>
      </c>
      <c r="AT54" s="1">
        <v>0.59</v>
      </c>
      <c r="AU54" s="1">
        <v>1.28</v>
      </c>
      <c r="AV54" s="1" t="s">
        <v>1</v>
      </c>
      <c r="AW54" s="1">
        <v>0.87</v>
      </c>
      <c r="AX54" s="1">
        <v>0.59</v>
      </c>
      <c r="AY54" s="1">
        <v>1.28</v>
      </c>
      <c r="AZ54" s="1" t="s">
        <v>122</v>
      </c>
      <c r="BA54" s="1" t="s">
        <v>654</v>
      </c>
      <c r="BB54" s="1">
        <v>1</v>
      </c>
      <c r="BC54" s="1">
        <v>0.93</v>
      </c>
      <c r="BD54" s="1">
        <v>1.07</v>
      </c>
      <c r="BE54" s="1" t="s">
        <v>0</v>
      </c>
      <c r="BF54" s="1" t="s">
        <v>0</v>
      </c>
    </row>
    <row r="55" spans="1:58" x14ac:dyDescent="0.25">
      <c r="A55" s="1" t="s">
        <v>98</v>
      </c>
      <c r="B55" s="1" t="s">
        <v>97</v>
      </c>
      <c r="C55" s="1" t="s">
        <v>44</v>
      </c>
      <c r="D55" s="1">
        <v>2012</v>
      </c>
      <c r="E55" s="1" t="b">
        <v>1</v>
      </c>
      <c r="F55" s="1" t="s">
        <v>1380</v>
      </c>
      <c r="G55" s="1" t="s">
        <v>1380</v>
      </c>
      <c r="H55" s="1" t="s">
        <v>22</v>
      </c>
      <c r="I55" s="1" t="s">
        <v>21</v>
      </c>
      <c r="J55" s="1" t="s">
        <v>20</v>
      </c>
      <c r="K55" s="1">
        <v>147</v>
      </c>
      <c r="L55" s="1">
        <v>143</v>
      </c>
      <c r="M55" s="1" t="s">
        <v>18</v>
      </c>
      <c r="N55" s="1" t="s">
        <v>69</v>
      </c>
      <c r="O55" s="1" t="s">
        <v>95</v>
      </c>
      <c r="P55" s="1" t="s">
        <v>68</v>
      </c>
      <c r="Q55" s="1" t="s">
        <v>1526</v>
      </c>
      <c r="R55" s="1" t="s">
        <v>2</v>
      </c>
      <c r="S55" s="1" t="s">
        <v>21</v>
      </c>
      <c r="T55" s="1">
        <v>1</v>
      </c>
      <c r="U55" s="1" t="s">
        <v>145</v>
      </c>
      <c r="V55" s="1" t="s">
        <v>53</v>
      </c>
      <c r="W55" s="1" t="s">
        <v>13</v>
      </c>
      <c r="X55" s="1" t="s">
        <v>94</v>
      </c>
      <c r="Y55" s="1">
        <f>Table1[[#This Row],[hiv_num]]/Table1[[#This Row],[analytical_sample_size]]</f>
        <v>4.8951048951048952E-2</v>
      </c>
      <c r="Z55" s="1" t="s">
        <v>513</v>
      </c>
      <c r="AA55" s="1" t="s">
        <v>1451</v>
      </c>
      <c r="AB55" s="1" t="s">
        <v>1452</v>
      </c>
      <c r="AC55" s="1" t="s">
        <v>9</v>
      </c>
      <c r="AD55" s="1" t="s">
        <v>9</v>
      </c>
      <c r="AE55" s="1" t="s">
        <v>8</v>
      </c>
      <c r="AF55" s="1">
        <v>63</v>
      </c>
      <c r="AG55" s="1">
        <f>0.441</f>
        <v>0.441</v>
      </c>
      <c r="AH55" s="1" t="s">
        <v>26</v>
      </c>
      <c r="AI55" s="1" t="s">
        <v>36</v>
      </c>
      <c r="AJ55" s="1" t="s">
        <v>90</v>
      </c>
      <c r="AK55" s="1"/>
      <c r="AL55" s="1"/>
      <c r="AM55" s="1"/>
      <c r="AN55" s="1"/>
      <c r="AO55" s="1"/>
      <c r="AP55" s="1"/>
      <c r="AQ55" s="1" t="s">
        <v>2</v>
      </c>
      <c r="AR55" s="1" t="s">
        <v>1</v>
      </c>
      <c r="AS55" s="1">
        <v>0.95</v>
      </c>
      <c r="AT55" s="1">
        <v>0.2</v>
      </c>
      <c r="AU55" s="1">
        <v>4.41</v>
      </c>
      <c r="AV55" s="1" t="s">
        <v>1</v>
      </c>
      <c r="AW55" s="1">
        <v>0.95</v>
      </c>
      <c r="AX55" s="1">
        <v>0.2</v>
      </c>
      <c r="AY55" s="1">
        <v>4.41</v>
      </c>
      <c r="AZ55" s="1">
        <v>0.94799999999999995</v>
      </c>
      <c r="BA55" s="1" t="s">
        <v>0</v>
      </c>
      <c r="BB55" s="1"/>
      <c r="BC55" s="1"/>
      <c r="BD55" s="1"/>
      <c r="BE55" s="1" t="s">
        <v>0</v>
      </c>
      <c r="BF55" s="1" t="s">
        <v>0</v>
      </c>
    </row>
    <row r="56" spans="1:58" x14ac:dyDescent="0.25">
      <c r="A56" s="1" t="s">
        <v>98</v>
      </c>
      <c r="B56" s="1" t="s">
        <v>97</v>
      </c>
      <c r="C56" s="1" t="s">
        <v>44</v>
      </c>
      <c r="D56" s="1">
        <v>2012</v>
      </c>
      <c r="E56" s="1" t="b">
        <v>1</v>
      </c>
      <c r="F56" s="1" t="s">
        <v>1380</v>
      </c>
      <c r="G56" s="1" t="s">
        <v>1380</v>
      </c>
      <c r="H56" s="1" t="s">
        <v>22</v>
      </c>
      <c r="I56" s="1" t="s">
        <v>21</v>
      </c>
      <c r="J56" s="1" t="s">
        <v>20</v>
      </c>
      <c r="K56" s="1">
        <v>147</v>
      </c>
      <c r="L56" s="1" t="s">
        <v>96</v>
      </c>
      <c r="M56" s="1" t="s">
        <v>18</v>
      </c>
      <c r="N56" s="1" t="s">
        <v>69</v>
      </c>
      <c r="O56" s="1" t="s">
        <v>95</v>
      </c>
      <c r="P56" s="1" t="s">
        <v>68</v>
      </c>
      <c r="Q56" s="1" t="s">
        <v>1526</v>
      </c>
      <c r="R56" s="1" t="s">
        <v>2</v>
      </c>
      <c r="S56" s="1" t="s">
        <v>21</v>
      </c>
      <c r="T56" s="1">
        <v>1</v>
      </c>
      <c r="U56" s="1" t="s">
        <v>145</v>
      </c>
      <c r="V56" s="1" t="s">
        <v>53</v>
      </c>
      <c r="W56" s="1" t="s">
        <v>13</v>
      </c>
      <c r="X56" s="1" t="s">
        <v>94</v>
      </c>
      <c r="Y56" s="1">
        <f>Table1[[#This Row],[hiv_num]]/Table1[[#This Row],[analytical_sample_size]]</f>
        <v>4.7619047619047616E-2</v>
      </c>
      <c r="Z56" s="1" t="s">
        <v>80</v>
      </c>
      <c r="AA56" s="1" t="s">
        <v>106</v>
      </c>
      <c r="AB56" s="1" t="s">
        <v>105</v>
      </c>
      <c r="AC56" s="1" t="s">
        <v>41</v>
      </c>
      <c r="AD56" s="1" t="s">
        <v>53</v>
      </c>
      <c r="AE56" s="1" t="s">
        <v>79</v>
      </c>
      <c r="AF56" s="1" t="s">
        <v>104</v>
      </c>
      <c r="AG56" s="1" t="s">
        <v>103</v>
      </c>
      <c r="AH56" s="1" t="s">
        <v>26</v>
      </c>
      <c r="AI56" s="1" t="s">
        <v>36</v>
      </c>
      <c r="AJ56" s="1" t="s">
        <v>90</v>
      </c>
      <c r="AK56" s="1"/>
      <c r="AL56" s="1"/>
      <c r="AM56" s="1"/>
      <c r="AN56" s="1"/>
      <c r="AO56" s="1"/>
      <c r="AP56" s="1"/>
      <c r="AQ56" s="1" t="s">
        <v>2</v>
      </c>
      <c r="AR56" s="1" t="s">
        <v>1</v>
      </c>
      <c r="AS56" s="1">
        <v>16.36363636363636</v>
      </c>
      <c r="AT56" s="1">
        <v>2.4700000000000002</v>
      </c>
      <c r="AU56" s="1">
        <v>108.62</v>
      </c>
      <c r="AV56" s="1" t="s">
        <v>1</v>
      </c>
      <c r="AW56" s="1">
        <v>16.36363636363636</v>
      </c>
      <c r="AX56" s="1">
        <v>2.4700000000000002</v>
      </c>
      <c r="AY56" s="1">
        <v>108.62</v>
      </c>
      <c r="AZ56" s="1">
        <v>4.0000000000000001E-3</v>
      </c>
      <c r="BA56" s="1" t="s">
        <v>0</v>
      </c>
      <c r="BB56" s="1"/>
      <c r="BC56" s="1"/>
      <c r="BD56" s="1"/>
      <c r="BE56" s="1" t="s">
        <v>0</v>
      </c>
      <c r="BF56" s="1" t="s">
        <v>1443</v>
      </c>
    </row>
    <row r="57" spans="1:58" x14ac:dyDescent="0.25">
      <c r="A57" s="1" t="s">
        <v>98</v>
      </c>
      <c r="B57" s="1" t="s">
        <v>97</v>
      </c>
      <c r="C57" s="1" t="s">
        <v>44</v>
      </c>
      <c r="D57" s="1">
        <v>2012</v>
      </c>
      <c r="E57" s="1" t="b">
        <v>1</v>
      </c>
      <c r="F57" s="1" t="s">
        <v>1380</v>
      </c>
      <c r="G57" s="1" t="s">
        <v>1380</v>
      </c>
      <c r="H57" s="1" t="s">
        <v>22</v>
      </c>
      <c r="I57" s="1" t="s">
        <v>21</v>
      </c>
      <c r="J57" s="1" t="s">
        <v>20</v>
      </c>
      <c r="K57" s="1">
        <v>147</v>
      </c>
      <c r="L57" s="1" t="s">
        <v>96</v>
      </c>
      <c r="M57" s="1" t="s">
        <v>18</v>
      </c>
      <c r="N57" s="1" t="s">
        <v>69</v>
      </c>
      <c r="O57" s="1" t="s">
        <v>95</v>
      </c>
      <c r="P57" s="1" t="s">
        <v>68</v>
      </c>
      <c r="Q57" s="1" t="s">
        <v>1526</v>
      </c>
      <c r="R57" s="1" t="s">
        <v>2</v>
      </c>
      <c r="S57" s="1" t="s">
        <v>21</v>
      </c>
      <c r="T57" s="1">
        <v>1</v>
      </c>
      <c r="U57" s="1" t="s">
        <v>145</v>
      </c>
      <c r="V57" s="1" t="s">
        <v>53</v>
      </c>
      <c r="W57" s="1" t="s">
        <v>13</v>
      </c>
      <c r="X57" s="1" t="s">
        <v>94</v>
      </c>
      <c r="Y57" s="1">
        <f>Table1[[#This Row],[hiv_num]]/Table1[[#This Row],[analytical_sample_size]]</f>
        <v>4.7619047619047616E-2</v>
      </c>
      <c r="Z57" s="1" t="s">
        <v>80</v>
      </c>
      <c r="AA57" s="1" t="s">
        <v>93</v>
      </c>
      <c r="AB57" s="1" t="s">
        <v>80</v>
      </c>
      <c r="AC57" s="1" t="s">
        <v>41</v>
      </c>
      <c r="AD57" s="1" t="s">
        <v>53</v>
      </c>
      <c r="AE57" s="1" t="s">
        <v>63</v>
      </c>
      <c r="AF57" s="1" t="s">
        <v>92</v>
      </c>
      <c r="AG57" s="1" t="s">
        <v>91</v>
      </c>
      <c r="AH57" s="1" t="s">
        <v>26</v>
      </c>
      <c r="AI57" s="1" t="s">
        <v>36</v>
      </c>
      <c r="AJ57" s="1" t="s">
        <v>90</v>
      </c>
      <c r="AK57" s="1"/>
      <c r="AL57" s="1"/>
      <c r="AM57" s="1"/>
      <c r="AN57" s="1"/>
      <c r="AO57" s="1"/>
      <c r="AP57" s="1"/>
      <c r="AQ57" s="1" t="s">
        <v>2</v>
      </c>
      <c r="AR57" s="1" t="s">
        <v>1</v>
      </c>
      <c r="AS57" s="1">
        <v>0.78431372549019607</v>
      </c>
      <c r="AT57" s="1">
        <v>0.15</v>
      </c>
      <c r="AU57" s="1">
        <v>4.24</v>
      </c>
      <c r="AV57" s="1" t="s">
        <v>1</v>
      </c>
      <c r="AW57" s="1">
        <v>0.78431372549019607</v>
      </c>
      <c r="AX57" s="1">
        <v>0.15</v>
      </c>
      <c r="AY57" s="1">
        <v>4.24</v>
      </c>
      <c r="AZ57" s="1" t="s">
        <v>89</v>
      </c>
      <c r="BA57" s="1" t="s">
        <v>0</v>
      </c>
      <c r="BB57" s="1"/>
      <c r="BC57" s="1"/>
      <c r="BD57" s="1"/>
      <c r="BE57" s="1" t="s">
        <v>0</v>
      </c>
      <c r="BF57" s="1" t="s">
        <v>1443</v>
      </c>
    </row>
    <row r="58" spans="1:58" x14ac:dyDescent="0.25">
      <c r="A58" s="1" t="s">
        <v>98</v>
      </c>
      <c r="B58" s="1" t="s">
        <v>97</v>
      </c>
      <c r="C58" s="1" t="s">
        <v>44</v>
      </c>
      <c r="D58" s="1">
        <v>2012</v>
      </c>
      <c r="E58" s="1" t="b">
        <v>1</v>
      </c>
      <c r="F58" s="1" t="s">
        <v>1380</v>
      </c>
      <c r="G58" s="1" t="s">
        <v>1380</v>
      </c>
      <c r="H58" s="1" t="s">
        <v>22</v>
      </c>
      <c r="I58" s="1" t="s">
        <v>21</v>
      </c>
      <c r="J58" s="1" t="s">
        <v>20</v>
      </c>
      <c r="K58" s="1">
        <v>147</v>
      </c>
      <c r="L58" s="1">
        <v>146</v>
      </c>
      <c r="M58" s="1" t="s">
        <v>18</v>
      </c>
      <c r="N58" s="1" t="s">
        <v>69</v>
      </c>
      <c r="O58" s="1" t="s">
        <v>95</v>
      </c>
      <c r="P58" s="1" t="s">
        <v>68</v>
      </c>
      <c r="Q58" s="1" t="s">
        <v>1526</v>
      </c>
      <c r="R58" s="1" t="s">
        <v>2</v>
      </c>
      <c r="S58" s="1" t="s">
        <v>21</v>
      </c>
      <c r="T58" s="1">
        <v>1</v>
      </c>
      <c r="U58" s="1" t="s">
        <v>145</v>
      </c>
      <c r="V58" s="1" t="s">
        <v>53</v>
      </c>
      <c r="W58" s="1" t="s">
        <v>13</v>
      </c>
      <c r="X58" s="1" t="s">
        <v>94</v>
      </c>
      <c r="Y58" s="1">
        <f>Table1[[#This Row],[hiv_num]]/Table1[[#This Row],[analytical_sample_size]]</f>
        <v>4.7945205479452052E-2</v>
      </c>
      <c r="Z58" s="1" t="s">
        <v>80</v>
      </c>
      <c r="AA58" s="1" t="s">
        <v>1449</v>
      </c>
      <c r="AB58" s="1" t="s">
        <v>80</v>
      </c>
      <c r="AC58" s="1" t="s">
        <v>41</v>
      </c>
      <c r="AD58" s="1" t="s">
        <v>53</v>
      </c>
      <c r="AE58" s="1" t="s">
        <v>79</v>
      </c>
      <c r="AF58" s="1">
        <v>12</v>
      </c>
      <c r="AG58" s="1">
        <f>12/146</f>
        <v>8.2191780821917804E-2</v>
      </c>
      <c r="AH58" s="1" t="s">
        <v>6</v>
      </c>
      <c r="AI58" s="1" t="s">
        <v>36</v>
      </c>
      <c r="AJ58" s="1" t="s">
        <v>90</v>
      </c>
      <c r="AK58" s="1"/>
      <c r="AL58" s="1"/>
      <c r="AM58" s="1"/>
      <c r="AN58" s="1"/>
      <c r="AO58" s="1"/>
      <c r="AP58" s="1"/>
      <c r="AQ58" s="1" t="s">
        <v>2</v>
      </c>
      <c r="AR58" s="1" t="s">
        <v>1</v>
      </c>
      <c r="AS58" s="1">
        <v>0.68</v>
      </c>
      <c r="AT58" s="1">
        <v>0.04</v>
      </c>
      <c r="AU58" s="1">
        <v>12.62</v>
      </c>
      <c r="AV58" s="1" t="s">
        <v>1</v>
      </c>
      <c r="AW58" s="1">
        <v>0.68</v>
      </c>
      <c r="AX58" s="1">
        <v>0.04</v>
      </c>
      <c r="AY58" s="1">
        <v>12.62</v>
      </c>
      <c r="AZ58" s="1" t="s">
        <v>0</v>
      </c>
      <c r="BA58" s="1" t="s">
        <v>0</v>
      </c>
      <c r="BB58" s="1"/>
      <c r="BC58" s="1"/>
      <c r="BD58" s="1"/>
      <c r="BE58" s="1" t="s">
        <v>0</v>
      </c>
      <c r="BF58" s="1" t="s">
        <v>0</v>
      </c>
    </row>
    <row r="59" spans="1:58" x14ac:dyDescent="0.25">
      <c r="A59" s="1" t="s">
        <v>98</v>
      </c>
      <c r="B59" s="1" t="s">
        <v>97</v>
      </c>
      <c r="C59" s="1" t="s">
        <v>44</v>
      </c>
      <c r="D59" s="1">
        <v>2012</v>
      </c>
      <c r="E59" s="1" t="b">
        <v>1</v>
      </c>
      <c r="F59" s="1" t="s">
        <v>1380</v>
      </c>
      <c r="G59" s="1" t="s">
        <v>1380</v>
      </c>
      <c r="H59" s="1" t="s">
        <v>22</v>
      </c>
      <c r="I59" s="1" t="s">
        <v>21</v>
      </c>
      <c r="J59" s="1" t="s">
        <v>20</v>
      </c>
      <c r="K59" s="1">
        <v>147</v>
      </c>
      <c r="L59" s="1" t="s">
        <v>96</v>
      </c>
      <c r="M59" s="1" t="s">
        <v>18</v>
      </c>
      <c r="N59" s="1" t="s">
        <v>69</v>
      </c>
      <c r="O59" s="1" t="s">
        <v>95</v>
      </c>
      <c r="P59" s="1" t="s">
        <v>68</v>
      </c>
      <c r="Q59" s="1" t="s">
        <v>1526</v>
      </c>
      <c r="R59" s="1" t="s">
        <v>2</v>
      </c>
      <c r="S59" s="1" t="s">
        <v>21</v>
      </c>
      <c r="T59" s="1">
        <v>1</v>
      </c>
      <c r="U59" s="1" t="s">
        <v>145</v>
      </c>
      <c r="V59" s="1" t="s">
        <v>53</v>
      </c>
      <c r="W59" s="1" t="s">
        <v>13</v>
      </c>
      <c r="X59" s="1" t="s">
        <v>94</v>
      </c>
      <c r="Y59" s="1">
        <f>Table1[[#This Row],[hiv_num]]/Table1[[#This Row],[analytical_sample_size]]</f>
        <v>4.7619047619047616E-2</v>
      </c>
      <c r="Z59" s="1" t="s">
        <v>11</v>
      </c>
      <c r="AA59" s="1" t="s">
        <v>102</v>
      </c>
      <c r="AB59" s="1" t="s">
        <v>101</v>
      </c>
      <c r="AC59" s="1" t="s">
        <v>67</v>
      </c>
      <c r="AD59" s="1" t="s">
        <v>53</v>
      </c>
      <c r="AE59" s="1" t="s">
        <v>74</v>
      </c>
      <c r="AF59" s="1" t="s">
        <v>50</v>
      </c>
      <c r="AG59" s="1" t="s">
        <v>100</v>
      </c>
      <c r="AH59" s="1" t="s">
        <v>26</v>
      </c>
      <c r="AI59" s="1" t="s">
        <v>36</v>
      </c>
      <c r="AJ59" s="1" t="s">
        <v>90</v>
      </c>
      <c r="AK59" s="1"/>
      <c r="AL59" s="1"/>
      <c r="AM59" s="1"/>
      <c r="AN59" s="1"/>
      <c r="AO59" s="1"/>
      <c r="AP59" s="1"/>
      <c r="AQ59" s="1" t="s">
        <v>2</v>
      </c>
      <c r="AR59" s="1" t="s">
        <v>1</v>
      </c>
      <c r="AS59" s="1">
        <v>2.416666666666667</v>
      </c>
      <c r="AT59" s="1">
        <v>0.52</v>
      </c>
      <c r="AU59" s="1">
        <v>11.25</v>
      </c>
      <c r="AV59" s="1" t="s">
        <v>1</v>
      </c>
      <c r="AW59" s="1">
        <v>2.416666666666667</v>
      </c>
      <c r="AX59" s="1">
        <v>0.52</v>
      </c>
      <c r="AY59" s="1">
        <v>11.25</v>
      </c>
      <c r="AZ59" s="1" t="s">
        <v>99</v>
      </c>
      <c r="BA59" s="1" t="s">
        <v>0</v>
      </c>
      <c r="BB59" s="1"/>
      <c r="BC59" s="1"/>
      <c r="BD59" s="1"/>
      <c r="BE59" s="1" t="s">
        <v>0</v>
      </c>
      <c r="BF59" s="1" t="s">
        <v>1443</v>
      </c>
    </row>
    <row r="60" spans="1:58" x14ac:dyDescent="0.25">
      <c r="A60" s="1" t="s">
        <v>98</v>
      </c>
      <c r="B60" s="1" t="s">
        <v>97</v>
      </c>
      <c r="C60" s="1" t="s">
        <v>44</v>
      </c>
      <c r="D60" s="1">
        <v>2012</v>
      </c>
      <c r="E60" s="1" t="b">
        <v>1</v>
      </c>
      <c r="F60" s="1" t="s">
        <v>1380</v>
      </c>
      <c r="G60" s="1" t="s">
        <v>1380</v>
      </c>
      <c r="H60" s="1" t="s">
        <v>22</v>
      </c>
      <c r="I60" s="1" t="s">
        <v>21</v>
      </c>
      <c r="J60" s="1" t="s">
        <v>20</v>
      </c>
      <c r="K60" s="1">
        <v>147</v>
      </c>
      <c r="L60" s="1">
        <v>142</v>
      </c>
      <c r="M60" s="1" t="s">
        <v>18</v>
      </c>
      <c r="N60" s="1" t="s">
        <v>69</v>
      </c>
      <c r="O60" s="1" t="s">
        <v>95</v>
      </c>
      <c r="P60" s="1" t="s">
        <v>68</v>
      </c>
      <c r="Q60" s="1" t="s">
        <v>1526</v>
      </c>
      <c r="R60" s="1" t="s">
        <v>2</v>
      </c>
      <c r="S60" s="1" t="s">
        <v>21</v>
      </c>
      <c r="T60" s="1">
        <v>1</v>
      </c>
      <c r="U60" s="1" t="s">
        <v>145</v>
      </c>
      <c r="V60" s="1" t="s">
        <v>53</v>
      </c>
      <c r="W60" s="1" t="s">
        <v>13</v>
      </c>
      <c r="X60" s="1" t="s">
        <v>94</v>
      </c>
      <c r="Y60" s="1">
        <f>Table1[[#This Row],[hiv_num]]/Table1[[#This Row],[analytical_sample_size]]</f>
        <v>4.9295774647887321E-2</v>
      </c>
      <c r="Z60" s="1" t="s">
        <v>11</v>
      </c>
      <c r="AA60" s="1" t="s">
        <v>1450</v>
      </c>
      <c r="AB60" s="1" t="s">
        <v>11</v>
      </c>
      <c r="AC60" s="1" t="s">
        <v>41</v>
      </c>
      <c r="AD60" s="1" t="s">
        <v>53</v>
      </c>
      <c r="AE60" s="1" t="s">
        <v>79</v>
      </c>
      <c r="AF60" s="1">
        <v>5</v>
      </c>
      <c r="AG60" s="1">
        <f>5/142</f>
        <v>3.5211267605633804E-2</v>
      </c>
      <c r="AH60" s="1" t="s">
        <v>6</v>
      </c>
      <c r="AI60" s="1" t="s">
        <v>36</v>
      </c>
      <c r="AJ60" s="1" t="s">
        <v>90</v>
      </c>
      <c r="AK60" s="1"/>
      <c r="AL60" s="1"/>
      <c r="AM60" s="1"/>
      <c r="AN60" s="1"/>
      <c r="AO60" s="1"/>
      <c r="AP60" s="1"/>
      <c r="AQ60" s="1" t="s">
        <v>2</v>
      </c>
      <c r="AR60" s="1" t="s">
        <v>1</v>
      </c>
      <c r="AS60" s="1">
        <v>1.84</v>
      </c>
      <c r="AT60" s="1">
        <v>0.09</v>
      </c>
      <c r="AU60" s="1">
        <v>36.950000000000003</v>
      </c>
      <c r="AV60" s="1" t="s">
        <v>1</v>
      </c>
      <c r="AW60" s="1">
        <v>1.84</v>
      </c>
      <c r="AX60" s="1">
        <v>0.09</v>
      </c>
      <c r="AY60" s="1">
        <v>36.950000000000003</v>
      </c>
      <c r="AZ60" s="1" t="s">
        <v>0</v>
      </c>
      <c r="BA60" s="1" t="s">
        <v>0</v>
      </c>
      <c r="BB60" s="1"/>
      <c r="BC60" s="1"/>
      <c r="BD60" s="1"/>
      <c r="BE60" s="1" t="s">
        <v>0</v>
      </c>
      <c r="BF60" s="1" t="s">
        <v>0</v>
      </c>
    </row>
    <row r="61" spans="1:58" x14ac:dyDescent="0.25">
      <c r="A61" s="1" t="s">
        <v>72</v>
      </c>
      <c r="B61" s="1" t="s">
        <v>71</v>
      </c>
      <c r="C61" s="1" t="s">
        <v>44</v>
      </c>
      <c r="D61" s="1">
        <v>2014</v>
      </c>
      <c r="E61" s="1" t="b">
        <v>1</v>
      </c>
      <c r="F61" s="1" t="s">
        <v>1380</v>
      </c>
      <c r="G61" s="1" t="s">
        <v>1380</v>
      </c>
      <c r="H61" s="1" t="s">
        <v>22</v>
      </c>
      <c r="I61" s="1" t="s">
        <v>21</v>
      </c>
      <c r="J61" s="1" t="s">
        <v>20</v>
      </c>
      <c r="K61" s="1">
        <v>754</v>
      </c>
      <c r="L61" s="1" t="s">
        <v>70</v>
      </c>
      <c r="M61" s="1" t="s">
        <v>18</v>
      </c>
      <c r="N61" s="1" t="s">
        <v>69</v>
      </c>
      <c r="O61" s="1" t="s">
        <v>42</v>
      </c>
      <c r="P61" s="1" t="s">
        <v>68</v>
      </c>
      <c r="Q61" s="1" t="s">
        <v>1526</v>
      </c>
      <c r="R61" s="1" t="s">
        <v>35</v>
      </c>
      <c r="S61" s="1" t="s">
        <v>21</v>
      </c>
      <c r="T61" s="1">
        <v>2</v>
      </c>
      <c r="U61" s="1" t="s">
        <v>145</v>
      </c>
      <c r="V61" s="1" t="s">
        <v>53</v>
      </c>
      <c r="W61" s="1" t="s">
        <v>13</v>
      </c>
      <c r="X61" s="1" t="s">
        <v>66</v>
      </c>
      <c r="Y61" s="1">
        <f>Table1[[#This Row],[hiv_num]]/Table1[[#This Row],[analytical_sample_size]]</f>
        <v>3.8461538461538464E-2</v>
      </c>
      <c r="Z61" s="1" t="s">
        <v>80</v>
      </c>
      <c r="AA61" s="1" t="s">
        <v>81</v>
      </c>
      <c r="AB61" s="1" t="s">
        <v>80</v>
      </c>
      <c r="AC61" s="1" t="s">
        <v>9</v>
      </c>
      <c r="AD61" s="1" t="s">
        <v>9</v>
      </c>
      <c r="AE61" s="1" t="s">
        <v>79</v>
      </c>
      <c r="AF61" s="1" t="s">
        <v>78</v>
      </c>
      <c r="AG61" s="1" t="s">
        <v>77</v>
      </c>
      <c r="AH61" s="1" t="s">
        <v>26</v>
      </c>
      <c r="AI61" s="1" t="s">
        <v>36</v>
      </c>
      <c r="AJ61" s="1" t="s">
        <v>61</v>
      </c>
      <c r="AK61" s="1"/>
      <c r="AL61" s="1"/>
      <c r="AM61" s="1"/>
      <c r="AN61" s="1"/>
      <c r="AO61" s="1"/>
      <c r="AP61" s="1"/>
      <c r="AQ61" s="1" t="s">
        <v>35</v>
      </c>
      <c r="AR61" s="1" t="s">
        <v>1</v>
      </c>
      <c r="AS61" s="1">
        <v>6.32</v>
      </c>
      <c r="AT61" s="1">
        <v>1.85</v>
      </c>
      <c r="AU61" s="1">
        <v>21.63</v>
      </c>
      <c r="AV61" s="1" t="s">
        <v>1</v>
      </c>
      <c r="AW61" s="1">
        <v>9.9696969696969706</v>
      </c>
      <c r="AX61" s="1">
        <v>2.92</v>
      </c>
      <c r="AY61" s="1">
        <v>34.07</v>
      </c>
      <c r="AZ61" s="1" t="s">
        <v>60</v>
      </c>
      <c r="BA61" s="1" t="s">
        <v>1</v>
      </c>
      <c r="BB61" s="1">
        <v>6.32</v>
      </c>
      <c r="BC61" s="1">
        <v>1.85</v>
      </c>
      <c r="BD61" s="1">
        <v>21.63</v>
      </c>
      <c r="BE61" s="1" t="s">
        <v>0</v>
      </c>
      <c r="BF61" s="1" t="s">
        <v>59</v>
      </c>
    </row>
    <row r="62" spans="1:58" x14ac:dyDescent="0.25">
      <c r="A62" s="1" t="s">
        <v>72</v>
      </c>
      <c r="B62" s="1" t="s">
        <v>71</v>
      </c>
      <c r="C62" s="1" t="s">
        <v>44</v>
      </c>
      <c r="D62" s="1">
        <v>2014</v>
      </c>
      <c r="E62" s="1" t="b">
        <v>1</v>
      </c>
      <c r="F62" s="1" t="s">
        <v>1380</v>
      </c>
      <c r="G62" s="1" t="s">
        <v>1380</v>
      </c>
      <c r="H62" s="1" t="s">
        <v>22</v>
      </c>
      <c r="I62" s="1" t="s">
        <v>21</v>
      </c>
      <c r="J62" s="1" t="s">
        <v>20</v>
      </c>
      <c r="K62" s="1">
        <v>754</v>
      </c>
      <c r="L62" s="1" t="s">
        <v>70</v>
      </c>
      <c r="M62" s="1" t="s">
        <v>18</v>
      </c>
      <c r="N62" s="1" t="s">
        <v>69</v>
      </c>
      <c r="O62" s="1" t="s">
        <v>42</v>
      </c>
      <c r="P62" s="1" t="s">
        <v>68</v>
      </c>
      <c r="Q62" s="1" t="s">
        <v>1526</v>
      </c>
      <c r="R62" s="1" t="s">
        <v>35</v>
      </c>
      <c r="S62" s="1" t="s">
        <v>21</v>
      </c>
      <c r="T62" s="1">
        <v>2</v>
      </c>
      <c r="U62" s="1" t="s">
        <v>145</v>
      </c>
      <c r="V62" s="1" t="s">
        <v>53</v>
      </c>
      <c r="W62" s="1" t="s">
        <v>13</v>
      </c>
      <c r="X62" s="1" t="s">
        <v>66</v>
      </c>
      <c r="Y62" s="1">
        <f>Table1[[#This Row],[hiv_num]]/Table1[[#This Row],[analytical_sample_size]]</f>
        <v>3.8461538461538464E-2</v>
      </c>
      <c r="Z62" s="1" t="s">
        <v>80</v>
      </c>
      <c r="AA62" s="1" t="s">
        <v>88</v>
      </c>
      <c r="AB62" s="1" t="s">
        <v>80</v>
      </c>
      <c r="AC62" s="1" t="s">
        <v>14</v>
      </c>
      <c r="AD62" s="1" t="s">
        <v>53</v>
      </c>
      <c r="AE62" s="1" t="s">
        <v>63</v>
      </c>
      <c r="AF62" s="1" t="s">
        <v>87</v>
      </c>
      <c r="AG62" s="1" t="s">
        <v>86</v>
      </c>
      <c r="AH62" s="1" t="s">
        <v>26</v>
      </c>
      <c r="AI62" s="1" t="s">
        <v>36</v>
      </c>
      <c r="AJ62" s="1" t="s">
        <v>61</v>
      </c>
      <c r="AK62" s="1"/>
      <c r="AL62" s="1"/>
      <c r="AM62" s="1"/>
      <c r="AN62" s="1"/>
      <c r="AO62" s="1"/>
      <c r="AP62" s="1"/>
      <c r="AQ62" s="1" t="s">
        <v>35</v>
      </c>
      <c r="AR62" s="1" t="s">
        <v>1</v>
      </c>
      <c r="AS62" s="1">
        <v>2.52</v>
      </c>
      <c r="AT62" s="1">
        <v>1.41</v>
      </c>
      <c r="AU62" s="1">
        <v>4.51</v>
      </c>
      <c r="AV62" s="1" t="s">
        <v>1</v>
      </c>
      <c r="AW62" s="1">
        <v>2.9772727272727271</v>
      </c>
      <c r="AX62" s="1">
        <v>1.23</v>
      </c>
      <c r="AY62" s="1">
        <v>7.22</v>
      </c>
      <c r="AZ62" s="1">
        <v>1.6E-2</v>
      </c>
      <c r="BA62" s="1" t="s">
        <v>1</v>
      </c>
      <c r="BB62" s="1">
        <v>2.52</v>
      </c>
      <c r="BC62" s="1">
        <v>1.41</v>
      </c>
      <c r="BD62" s="1">
        <v>4.51</v>
      </c>
      <c r="BE62" s="1" t="s">
        <v>0</v>
      </c>
      <c r="BF62" s="1" t="s">
        <v>59</v>
      </c>
    </row>
    <row r="63" spans="1:58" x14ac:dyDescent="0.25">
      <c r="A63" s="1" t="s">
        <v>72</v>
      </c>
      <c r="B63" s="1" t="s">
        <v>71</v>
      </c>
      <c r="C63" s="1" t="s">
        <v>44</v>
      </c>
      <c r="D63" s="1">
        <v>2014</v>
      </c>
      <c r="E63" s="1" t="b">
        <v>1</v>
      </c>
      <c r="F63" s="1" t="s">
        <v>1380</v>
      </c>
      <c r="G63" s="1" t="s">
        <v>1380</v>
      </c>
      <c r="H63" s="1" t="s">
        <v>22</v>
      </c>
      <c r="I63" s="1" t="s">
        <v>21</v>
      </c>
      <c r="J63" s="1" t="s">
        <v>20</v>
      </c>
      <c r="K63" s="1">
        <v>754</v>
      </c>
      <c r="L63" s="1" t="s">
        <v>70</v>
      </c>
      <c r="M63" s="1" t="s">
        <v>18</v>
      </c>
      <c r="N63" s="1" t="s">
        <v>69</v>
      </c>
      <c r="O63" s="1" t="s">
        <v>42</v>
      </c>
      <c r="P63" s="1" t="s">
        <v>68</v>
      </c>
      <c r="Q63" s="1" t="s">
        <v>1526</v>
      </c>
      <c r="R63" s="1" t="s">
        <v>35</v>
      </c>
      <c r="S63" s="1" t="s">
        <v>21</v>
      </c>
      <c r="T63" s="1">
        <v>2</v>
      </c>
      <c r="U63" s="1" t="s">
        <v>145</v>
      </c>
      <c r="V63" s="1" t="s">
        <v>53</v>
      </c>
      <c r="W63" s="1" t="s">
        <v>13</v>
      </c>
      <c r="X63" s="1" t="s">
        <v>66</v>
      </c>
      <c r="Y63" s="1">
        <f>Table1[[#This Row],[hiv_num]]/Table1[[#This Row],[analytical_sample_size]]</f>
        <v>3.8461538461538464E-2</v>
      </c>
      <c r="Z63" s="1" t="s">
        <v>11</v>
      </c>
      <c r="AA63" s="1" t="s">
        <v>85</v>
      </c>
      <c r="AB63" s="1" t="s">
        <v>84</v>
      </c>
      <c r="AC63" s="1" t="s">
        <v>14</v>
      </c>
      <c r="AD63" s="1" t="s">
        <v>53</v>
      </c>
      <c r="AE63" s="1" t="s">
        <v>63</v>
      </c>
      <c r="AF63" s="1" t="s">
        <v>83</v>
      </c>
      <c r="AG63" s="1" t="s">
        <v>82</v>
      </c>
      <c r="AH63" s="1" t="s">
        <v>26</v>
      </c>
      <c r="AI63" s="1" t="s">
        <v>36</v>
      </c>
      <c r="AJ63" s="1" t="s">
        <v>61</v>
      </c>
      <c r="AK63" s="1"/>
      <c r="AL63" s="1"/>
      <c r="AM63" s="1"/>
      <c r="AN63" s="1"/>
      <c r="AO63" s="1"/>
      <c r="AP63" s="1"/>
      <c r="AQ63" s="1" t="s">
        <v>35</v>
      </c>
      <c r="AR63" s="1" t="s">
        <v>1</v>
      </c>
      <c r="AS63" s="1">
        <v>3.77</v>
      </c>
      <c r="AT63" s="1">
        <v>1.73</v>
      </c>
      <c r="AU63" s="1">
        <v>8.2200000000000006</v>
      </c>
      <c r="AV63" s="1" t="s">
        <v>1</v>
      </c>
      <c r="AW63" s="1">
        <v>3.7870129870129872</v>
      </c>
      <c r="AX63" s="1">
        <v>1.67</v>
      </c>
      <c r="AY63" s="1">
        <v>8.61</v>
      </c>
      <c r="AZ63" s="1">
        <v>2E-3</v>
      </c>
      <c r="BA63" s="1" t="s">
        <v>1</v>
      </c>
      <c r="BB63" s="1">
        <v>3.77</v>
      </c>
      <c r="BC63" s="1">
        <v>1.73</v>
      </c>
      <c r="BD63" s="1">
        <v>8.2200000000000006</v>
      </c>
      <c r="BE63" s="1" t="s">
        <v>0</v>
      </c>
      <c r="BF63" s="1" t="s">
        <v>59</v>
      </c>
    </row>
    <row r="64" spans="1:58" x14ac:dyDescent="0.25">
      <c r="A64" s="1" t="s">
        <v>72</v>
      </c>
      <c r="B64" s="1" t="s">
        <v>71</v>
      </c>
      <c r="C64" s="1" t="s">
        <v>44</v>
      </c>
      <c r="D64" s="1">
        <v>2014</v>
      </c>
      <c r="E64" s="1" t="b">
        <v>1</v>
      </c>
      <c r="F64" s="1" t="s">
        <v>1380</v>
      </c>
      <c r="G64" s="1" t="s">
        <v>1380</v>
      </c>
      <c r="H64" s="1" t="s">
        <v>22</v>
      </c>
      <c r="I64" s="1" t="s">
        <v>21</v>
      </c>
      <c r="J64" s="1" t="s">
        <v>20</v>
      </c>
      <c r="K64" s="1">
        <v>754</v>
      </c>
      <c r="L64" s="1" t="s">
        <v>70</v>
      </c>
      <c r="M64" s="1" t="s">
        <v>18</v>
      </c>
      <c r="N64" s="1" t="s">
        <v>69</v>
      </c>
      <c r="O64" s="1" t="s">
        <v>42</v>
      </c>
      <c r="P64" s="1" t="s">
        <v>68</v>
      </c>
      <c r="Q64" s="1" t="s">
        <v>1526</v>
      </c>
      <c r="R64" s="1" t="s">
        <v>35</v>
      </c>
      <c r="S64" s="1" t="s">
        <v>21</v>
      </c>
      <c r="T64" s="1">
        <v>2</v>
      </c>
      <c r="U64" s="1" t="s">
        <v>145</v>
      </c>
      <c r="V64" s="1" t="s">
        <v>53</v>
      </c>
      <c r="W64" s="1" t="s">
        <v>13</v>
      </c>
      <c r="X64" s="1" t="s">
        <v>66</v>
      </c>
      <c r="Y64" s="1">
        <f>Table1[[#This Row],[hiv_num]]/Table1[[#This Row],[analytical_sample_size]]</f>
        <v>3.8461538461538464E-2</v>
      </c>
      <c r="Z64" s="1" t="s">
        <v>11</v>
      </c>
      <c r="AA64" s="1" t="s">
        <v>76</v>
      </c>
      <c r="AB64" s="1" t="s">
        <v>75</v>
      </c>
      <c r="AC64" s="1" t="s">
        <v>14</v>
      </c>
      <c r="AD64" s="1" t="s">
        <v>53</v>
      </c>
      <c r="AE64" s="1" t="s">
        <v>74</v>
      </c>
      <c r="AF64" s="1" t="s">
        <v>73</v>
      </c>
      <c r="AG64" s="1">
        <f>Table1[[#This Row],[exposed_num]]/Table1[[#This Row],[analytical_sample_size]]</f>
        <v>3.0503978779840849E-2</v>
      </c>
      <c r="AH64" s="1" t="s">
        <v>26</v>
      </c>
      <c r="AI64" s="1" t="s">
        <v>36</v>
      </c>
      <c r="AJ64" s="1" t="s">
        <v>61</v>
      </c>
      <c r="AK64" s="1"/>
      <c r="AL64" s="1"/>
      <c r="AM64" s="1"/>
      <c r="AN64" s="1"/>
      <c r="AO64" s="1"/>
      <c r="AP64" s="1"/>
      <c r="AQ64" s="1" t="s">
        <v>35</v>
      </c>
      <c r="AR64" s="1" t="s">
        <v>1</v>
      </c>
      <c r="AS64" s="1">
        <v>3.45</v>
      </c>
      <c r="AT64" s="1">
        <v>0.92</v>
      </c>
      <c r="AU64" s="1">
        <v>12.93</v>
      </c>
      <c r="AV64" s="1" t="s">
        <v>1</v>
      </c>
      <c r="AW64" s="1">
        <v>4.0673076923076934</v>
      </c>
      <c r="AX64" s="1">
        <v>1.1399999999999999</v>
      </c>
      <c r="AY64" s="1">
        <v>14.56</v>
      </c>
      <c r="AZ64" s="1">
        <v>3.1E-2</v>
      </c>
      <c r="BA64" s="1" t="s">
        <v>1</v>
      </c>
      <c r="BB64" s="1">
        <v>3.45</v>
      </c>
      <c r="BC64" s="1">
        <v>0.92</v>
      </c>
      <c r="BD64" s="1">
        <v>12.93</v>
      </c>
      <c r="BE64" s="1" t="s">
        <v>0</v>
      </c>
      <c r="BF64" s="1" t="s">
        <v>59</v>
      </c>
    </row>
    <row r="65" spans="1:58" x14ac:dyDescent="0.25">
      <c r="A65" s="1" t="s">
        <v>72</v>
      </c>
      <c r="B65" s="1" t="s">
        <v>71</v>
      </c>
      <c r="C65" s="1" t="s">
        <v>44</v>
      </c>
      <c r="D65" s="1">
        <v>2014</v>
      </c>
      <c r="E65" s="1" t="b">
        <v>1</v>
      </c>
      <c r="F65" s="1" t="s">
        <v>1380</v>
      </c>
      <c r="G65" s="1" t="s">
        <v>1380</v>
      </c>
      <c r="H65" s="1" t="s">
        <v>22</v>
      </c>
      <c r="I65" s="1" t="s">
        <v>21</v>
      </c>
      <c r="J65" s="1" t="s">
        <v>20</v>
      </c>
      <c r="K65" s="1">
        <v>754</v>
      </c>
      <c r="L65" s="1" t="s">
        <v>70</v>
      </c>
      <c r="M65" s="1" t="s">
        <v>18</v>
      </c>
      <c r="N65" s="1" t="s">
        <v>69</v>
      </c>
      <c r="O65" s="1" t="s">
        <v>42</v>
      </c>
      <c r="P65" s="1" t="s">
        <v>68</v>
      </c>
      <c r="Q65" s="1" t="s">
        <v>1526</v>
      </c>
      <c r="R65" s="1" t="s">
        <v>35</v>
      </c>
      <c r="S65" s="1" t="s">
        <v>21</v>
      </c>
      <c r="T65" s="1">
        <v>2</v>
      </c>
      <c r="U65" s="1" t="s">
        <v>145</v>
      </c>
      <c r="V65" s="1" t="s">
        <v>53</v>
      </c>
      <c r="W65" s="1" t="s">
        <v>13</v>
      </c>
      <c r="X65" s="1" t="s">
        <v>66</v>
      </c>
      <c r="Y65" s="1">
        <f>Table1[[#This Row],[hiv_num]]/Table1[[#This Row],[analytical_sample_size]]</f>
        <v>3.8461538461538464E-2</v>
      </c>
      <c r="Z65" s="1" t="s">
        <v>11</v>
      </c>
      <c r="AA65" s="1" t="s">
        <v>65</v>
      </c>
      <c r="AB65" s="1" t="s">
        <v>64</v>
      </c>
      <c r="AC65" s="1" t="s">
        <v>14</v>
      </c>
      <c r="AD65" s="1" t="s">
        <v>53</v>
      </c>
      <c r="AE65" s="1" t="s">
        <v>63</v>
      </c>
      <c r="AF65" s="1" t="s">
        <v>62</v>
      </c>
      <c r="AG65" s="1">
        <f>Table1[[#This Row],[exposed_num]]/Table1[[#This Row],[analytical_sample_size]]</f>
        <v>6.2334217506631297E-2</v>
      </c>
      <c r="AH65" s="1" t="s">
        <v>26</v>
      </c>
      <c r="AI65" s="1" t="s">
        <v>36</v>
      </c>
      <c r="AJ65" s="1" t="s">
        <v>61</v>
      </c>
      <c r="AK65" s="1"/>
      <c r="AL65" s="1"/>
      <c r="AM65" s="1"/>
      <c r="AN65" s="1"/>
      <c r="AO65" s="1"/>
      <c r="AP65" s="1"/>
      <c r="AQ65" s="1" t="s">
        <v>35</v>
      </c>
      <c r="AR65" s="1" t="s">
        <v>1</v>
      </c>
      <c r="AS65" s="1">
        <v>4.8</v>
      </c>
      <c r="AT65" s="1">
        <v>1.89</v>
      </c>
      <c r="AU65" s="1">
        <v>12.19</v>
      </c>
      <c r="AV65" s="1" t="s">
        <v>1</v>
      </c>
      <c r="AW65" s="1">
        <v>5.4488636363636358</v>
      </c>
      <c r="AX65" s="1">
        <v>2.2000000000000002</v>
      </c>
      <c r="AY65" s="1">
        <v>13.51</v>
      </c>
      <c r="AZ65" s="1" t="s">
        <v>60</v>
      </c>
      <c r="BA65" s="1" t="s">
        <v>1</v>
      </c>
      <c r="BB65" s="1">
        <v>4.8</v>
      </c>
      <c r="BC65" s="1">
        <v>1.89</v>
      </c>
      <c r="BD65" s="1">
        <v>12.19</v>
      </c>
      <c r="BE65" s="1" t="s">
        <v>0</v>
      </c>
      <c r="BF65" s="1" t="s">
        <v>59</v>
      </c>
    </row>
    <row r="66" spans="1:58" x14ac:dyDescent="0.25">
      <c r="A66" s="1" t="s">
        <v>46</v>
      </c>
      <c r="B66" s="1" t="s">
        <v>45</v>
      </c>
      <c r="C66" s="1" t="s">
        <v>44</v>
      </c>
      <c r="D66" s="1">
        <v>2016</v>
      </c>
      <c r="E66" s="1" t="b">
        <v>0</v>
      </c>
      <c r="F66" s="1" t="s">
        <v>1380</v>
      </c>
      <c r="G66" s="1" t="s">
        <v>1380</v>
      </c>
      <c r="H66" s="1" t="s">
        <v>22</v>
      </c>
      <c r="I66" s="1" t="s">
        <v>21</v>
      </c>
      <c r="J66" s="1" t="s">
        <v>20</v>
      </c>
      <c r="K66" s="1">
        <v>1817</v>
      </c>
      <c r="L66" s="1" t="s">
        <v>40</v>
      </c>
      <c r="M66" s="1" t="s">
        <v>18</v>
      </c>
      <c r="N66" s="1" t="s">
        <v>43</v>
      </c>
      <c r="O66" s="1" t="s">
        <v>42</v>
      </c>
      <c r="P66" s="1" t="s">
        <v>15</v>
      </c>
      <c r="Q66" s="1" t="s">
        <v>1526</v>
      </c>
      <c r="R66" s="1" t="s">
        <v>35</v>
      </c>
      <c r="S66" s="1" t="s">
        <v>21</v>
      </c>
      <c r="T66" s="1">
        <v>2</v>
      </c>
      <c r="U66" s="1" t="s">
        <v>41</v>
      </c>
      <c r="V66" s="1" t="s">
        <v>53</v>
      </c>
      <c r="W66" s="1" t="s">
        <v>13</v>
      </c>
      <c r="X66" s="1" t="s">
        <v>40</v>
      </c>
      <c r="Y66" s="1" t="s">
        <v>13</v>
      </c>
      <c r="Z66" s="1" t="s">
        <v>39</v>
      </c>
      <c r="AA66" s="1" t="s">
        <v>38</v>
      </c>
      <c r="AB66" s="1" t="s">
        <v>51</v>
      </c>
      <c r="AC66" s="1" t="s">
        <v>9</v>
      </c>
      <c r="AD66" s="1" t="s">
        <v>9</v>
      </c>
      <c r="AE66" s="1" t="s">
        <v>8</v>
      </c>
      <c r="AF66" s="1">
        <v>1098</v>
      </c>
      <c r="AG66" s="1">
        <f>1098/1817</f>
        <v>0.60429279031370386</v>
      </c>
      <c r="AH66" s="1" t="s">
        <v>6</v>
      </c>
      <c r="AI66" s="1" t="s">
        <v>30</v>
      </c>
      <c r="AJ66" s="1" t="s">
        <v>49</v>
      </c>
      <c r="AK66" s="1" t="s">
        <v>28</v>
      </c>
      <c r="AL66" s="1" t="s">
        <v>48</v>
      </c>
      <c r="AM66" s="1" t="s">
        <v>26</v>
      </c>
      <c r="AN66" s="1"/>
      <c r="AO66" s="1"/>
      <c r="AP66" s="1"/>
      <c r="AQ66" s="1" t="s">
        <v>35</v>
      </c>
      <c r="AR66" s="1" t="s">
        <v>1</v>
      </c>
      <c r="AS66" s="1">
        <v>0.49</v>
      </c>
      <c r="AT66" s="1">
        <v>0.13</v>
      </c>
      <c r="AU66" s="1">
        <v>1.82</v>
      </c>
      <c r="AV66" s="1" t="s">
        <v>0</v>
      </c>
      <c r="AW66" s="1">
        <v>0.59</v>
      </c>
      <c r="AX66" s="1">
        <v>0.2</v>
      </c>
      <c r="AY66" s="1">
        <v>1.72</v>
      </c>
      <c r="AZ66" s="1" t="s">
        <v>0</v>
      </c>
      <c r="BA66" s="1" t="s">
        <v>1</v>
      </c>
      <c r="BB66" s="1">
        <v>0.49</v>
      </c>
      <c r="BC66" s="1">
        <v>0.13</v>
      </c>
      <c r="BD66" s="1">
        <v>1.82</v>
      </c>
      <c r="BE66" s="1" t="s">
        <v>47</v>
      </c>
      <c r="BF66" s="1" t="s">
        <v>33</v>
      </c>
    </row>
    <row r="67" spans="1:58" x14ac:dyDescent="0.25">
      <c r="A67" s="1" t="s">
        <v>46</v>
      </c>
      <c r="B67" s="1" t="s">
        <v>45</v>
      </c>
      <c r="C67" s="1" t="s">
        <v>44</v>
      </c>
      <c r="D67" s="1">
        <v>2016</v>
      </c>
      <c r="E67" s="1" t="b">
        <v>0</v>
      </c>
      <c r="F67" s="1" t="s">
        <v>1380</v>
      </c>
      <c r="G67" s="1" t="s">
        <v>1380</v>
      </c>
      <c r="H67" s="1" t="s">
        <v>22</v>
      </c>
      <c r="I67" s="1" t="s">
        <v>21</v>
      </c>
      <c r="J67" s="1" t="s">
        <v>20</v>
      </c>
      <c r="K67" s="1">
        <v>1817</v>
      </c>
      <c r="L67" s="1" t="s">
        <v>58</v>
      </c>
      <c r="M67" s="1" t="s">
        <v>18</v>
      </c>
      <c r="N67" s="1" t="s">
        <v>43</v>
      </c>
      <c r="O67" s="1" t="s">
        <v>42</v>
      </c>
      <c r="P67" s="1" t="s">
        <v>15</v>
      </c>
      <c r="Q67" s="1" t="s">
        <v>1526</v>
      </c>
      <c r="R67" s="1" t="s">
        <v>35</v>
      </c>
      <c r="S67" s="1" t="s">
        <v>21</v>
      </c>
      <c r="T67" s="1">
        <v>2</v>
      </c>
      <c r="U67" s="1" t="s">
        <v>41</v>
      </c>
      <c r="V67" s="1" t="s">
        <v>53</v>
      </c>
      <c r="W67" s="1" t="s">
        <v>13</v>
      </c>
      <c r="X67" s="1" t="s">
        <v>57</v>
      </c>
      <c r="Y67" s="1" t="s">
        <v>57</v>
      </c>
      <c r="Z67" s="1" t="s">
        <v>39</v>
      </c>
      <c r="AA67" s="1" t="s">
        <v>38</v>
      </c>
      <c r="AB67" s="1" t="s">
        <v>37</v>
      </c>
      <c r="AC67" s="1" t="s">
        <v>9</v>
      </c>
      <c r="AD67" s="1" t="s">
        <v>9</v>
      </c>
      <c r="AE67" s="1" t="s">
        <v>8</v>
      </c>
      <c r="AF67" s="1">
        <v>1098</v>
      </c>
      <c r="AG67" s="1">
        <f>1098/1817</f>
        <v>0.60429279031370386</v>
      </c>
      <c r="AH67" s="1" t="s">
        <v>26</v>
      </c>
      <c r="AI67" s="1" t="s">
        <v>56</v>
      </c>
      <c r="AJ67" s="1" t="s">
        <v>55</v>
      </c>
      <c r="AK67" s="1"/>
      <c r="AL67" s="1"/>
      <c r="AM67" s="1"/>
      <c r="AN67" s="1"/>
      <c r="AO67" s="1" t="s">
        <v>54</v>
      </c>
      <c r="AP67" s="1" t="s">
        <v>53</v>
      </c>
      <c r="AQ67" s="1" t="s">
        <v>35</v>
      </c>
      <c r="AR67" s="1" t="s">
        <v>1</v>
      </c>
      <c r="AS67" s="1">
        <v>0.92</v>
      </c>
      <c r="AT67" s="1">
        <v>0.71</v>
      </c>
      <c r="AU67" s="1">
        <v>1.19</v>
      </c>
      <c r="AV67" s="1" t="s">
        <v>0</v>
      </c>
      <c r="AW67" s="1">
        <v>0.83</v>
      </c>
      <c r="AX67" s="1">
        <v>0.66</v>
      </c>
      <c r="AY67" s="1">
        <v>1.05</v>
      </c>
      <c r="AZ67" s="1" t="s">
        <v>0</v>
      </c>
      <c r="BA67" s="1" t="s">
        <v>1</v>
      </c>
      <c r="BB67" s="1">
        <v>0.92</v>
      </c>
      <c r="BC67" s="1">
        <v>0.71</v>
      </c>
      <c r="BD67" s="1">
        <v>1.19</v>
      </c>
      <c r="BE67" s="1" t="s">
        <v>52</v>
      </c>
      <c r="BF67" s="1" t="s">
        <v>33</v>
      </c>
    </row>
    <row r="68" spans="1:58" x14ac:dyDescent="0.25">
      <c r="A68" s="1" t="s">
        <v>25</v>
      </c>
      <c r="B68" s="1" t="s">
        <v>24</v>
      </c>
      <c r="C68" s="1" t="s">
        <v>23</v>
      </c>
      <c r="D68" s="1">
        <v>2018</v>
      </c>
      <c r="E68" s="1" t="b">
        <v>0</v>
      </c>
      <c r="F68" s="1" t="s">
        <v>1381</v>
      </c>
      <c r="G68" s="1" t="s">
        <v>1380</v>
      </c>
      <c r="H68" s="1" t="s">
        <v>22</v>
      </c>
      <c r="I68" s="1" t="s">
        <v>21</v>
      </c>
      <c r="J68" s="1" t="s">
        <v>20</v>
      </c>
      <c r="K68" s="1">
        <v>1497</v>
      </c>
      <c r="L68" s="1" t="s">
        <v>19</v>
      </c>
      <c r="M68" s="1" t="s">
        <v>18</v>
      </c>
      <c r="N68" s="1" t="s">
        <v>17</v>
      </c>
      <c r="O68" s="1" t="s">
        <v>16</v>
      </c>
      <c r="P68" s="1" t="s">
        <v>15</v>
      </c>
      <c r="Q68" s="1" t="s">
        <v>1526</v>
      </c>
      <c r="R68" s="1" t="s">
        <v>2</v>
      </c>
      <c r="S68" s="1" t="s">
        <v>21</v>
      </c>
      <c r="T68" s="1">
        <v>1</v>
      </c>
      <c r="U68" s="1" t="s">
        <v>14</v>
      </c>
      <c r="V68" s="1" t="s">
        <v>53</v>
      </c>
      <c r="W68" s="1" t="s">
        <v>13</v>
      </c>
      <c r="X68" s="1" t="s">
        <v>12</v>
      </c>
      <c r="Y68" s="1">
        <v>0.314</v>
      </c>
      <c r="Z68" s="1" t="s">
        <v>11</v>
      </c>
      <c r="AA68" s="1" t="s">
        <v>10</v>
      </c>
      <c r="AB68" s="1" t="s">
        <v>10</v>
      </c>
      <c r="AC68" s="1" t="s">
        <v>9</v>
      </c>
      <c r="AD68" s="1" t="s">
        <v>9</v>
      </c>
      <c r="AE68" s="1" t="s">
        <v>8</v>
      </c>
      <c r="AF68" s="1" t="s">
        <v>32</v>
      </c>
      <c r="AG68" s="1" t="s">
        <v>31</v>
      </c>
      <c r="AH68" s="1" t="s">
        <v>6</v>
      </c>
      <c r="AI68" s="1" t="s">
        <v>30</v>
      </c>
      <c r="AJ68" s="1" t="s">
        <v>29</v>
      </c>
      <c r="AK68" s="1" t="s">
        <v>28</v>
      </c>
      <c r="AL68" s="1" t="s">
        <v>27</v>
      </c>
      <c r="AM68" s="1" t="s">
        <v>26</v>
      </c>
      <c r="AN68" s="1"/>
      <c r="AO68" s="1"/>
      <c r="AP68" s="1"/>
      <c r="AQ68" s="1" t="s">
        <v>2</v>
      </c>
      <c r="AR68" s="1" t="s">
        <v>1</v>
      </c>
      <c r="AS68" s="1">
        <v>0.98</v>
      </c>
      <c r="AT68" s="1">
        <v>0.4</v>
      </c>
      <c r="AU68" s="1">
        <v>2.4300000000000002</v>
      </c>
      <c r="AV68" s="1" t="s">
        <v>1</v>
      </c>
      <c r="AW68" s="1">
        <v>0.98</v>
      </c>
      <c r="AX68" s="1">
        <v>0.4</v>
      </c>
      <c r="AY68" s="1">
        <v>2.4300000000000002</v>
      </c>
      <c r="AZ68" s="1" t="s">
        <v>0</v>
      </c>
      <c r="BA68" s="1" t="s">
        <v>0</v>
      </c>
      <c r="BB68" s="1"/>
      <c r="BC68" s="1"/>
      <c r="BD68" s="1"/>
      <c r="BE68" s="1" t="s">
        <v>0</v>
      </c>
      <c r="BF68" s="1" t="s">
        <v>0</v>
      </c>
    </row>
    <row r="69" spans="1:58" x14ac:dyDescent="0.25">
      <c r="A69" s="1" t="s">
        <v>25</v>
      </c>
      <c r="B69" s="1" t="s">
        <v>24</v>
      </c>
      <c r="C69" s="1" t="s">
        <v>23</v>
      </c>
      <c r="D69" s="1">
        <v>2018</v>
      </c>
      <c r="E69" s="1" t="b">
        <v>0</v>
      </c>
      <c r="F69" s="1" t="s">
        <v>1381</v>
      </c>
      <c r="G69" s="1" t="s">
        <v>1380</v>
      </c>
      <c r="H69" s="1" t="s">
        <v>22</v>
      </c>
      <c r="I69" s="1" t="s">
        <v>21</v>
      </c>
      <c r="J69" s="1" t="s">
        <v>20</v>
      </c>
      <c r="K69" s="1">
        <v>1497</v>
      </c>
      <c r="L69" s="1" t="s">
        <v>19</v>
      </c>
      <c r="M69" s="1" t="s">
        <v>18</v>
      </c>
      <c r="N69" s="1" t="s">
        <v>17</v>
      </c>
      <c r="O69" s="1" t="s">
        <v>16</v>
      </c>
      <c r="P69" s="1" t="s">
        <v>15</v>
      </c>
      <c r="Q69" s="1" t="s">
        <v>1526</v>
      </c>
      <c r="R69" s="1" t="s">
        <v>2</v>
      </c>
      <c r="S69" s="1" t="s">
        <v>21</v>
      </c>
      <c r="T69" s="1">
        <v>1</v>
      </c>
      <c r="U69" s="1" t="s">
        <v>14</v>
      </c>
      <c r="V69" s="1" t="s">
        <v>53</v>
      </c>
      <c r="W69" s="1" t="s">
        <v>13</v>
      </c>
      <c r="X69" s="1" t="s">
        <v>12</v>
      </c>
      <c r="Y69" s="1">
        <v>0.314</v>
      </c>
      <c r="Z69" s="1" t="s">
        <v>11</v>
      </c>
      <c r="AA69" s="1" t="s">
        <v>10</v>
      </c>
      <c r="AB69" s="1" t="s">
        <v>10</v>
      </c>
      <c r="AC69" s="1" t="s">
        <v>9</v>
      </c>
      <c r="AD69" s="1" t="s">
        <v>9</v>
      </c>
      <c r="AE69" s="1" t="s">
        <v>8</v>
      </c>
      <c r="AF69" s="1" t="s">
        <v>7</v>
      </c>
      <c r="AG69" s="1">
        <f>222/341</f>
        <v>0.65102639296187681</v>
      </c>
      <c r="AH69" s="1" t="s">
        <v>26</v>
      </c>
      <c r="AI69" s="1" t="s">
        <v>5</v>
      </c>
      <c r="AJ69" s="1" t="s">
        <v>4</v>
      </c>
      <c r="AK69" s="1"/>
      <c r="AL69" s="1"/>
      <c r="AM69" s="1"/>
      <c r="AN69" s="1" t="s">
        <v>3</v>
      </c>
      <c r="AO69" s="1"/>
      <c r="AP69" s="1"/>
      <c r="AQ69" s="1" t="s">
        <v>2</v>
      </c>
      <c r="AR69" s="1" t="s">
        <v>1</v>
      </c>
      <c r="AS69" s="1">
        <v>0.67</v>
      </c>
      <c r="AT69" s="1">
        <v>0.38</v>
      </c>
      <c r="AU69" s="1">
        <v>1.2</v>
      </c>
      <c r="AV69" s="1" t="s">
        <v>1</v>
      </c>
      <c r="AW69" s="1">
        <v>0.67</v>
      </c>
      <c r="AX69" s="1">
        <v>0.38</v>
      </c>
      <c r="AY69" s="1">
        <v>1.2</v>
      </c>
      <c r="AZ69" s="1" t="s">
        <v>0</v>
      </c>
      <c r="BA69" s="1" t="s">
        <v>0</v>
      </c>
      <c r="BB69" s="1"/>
      <c r="BC69" s="1"/>
      <c r="BD69" s="1"/>
      <c r="BE69" s="1" t="s">
        <v>0</v>
      </c>
      <c r="BF69" s="1" t="s">
        <v>0</v>
      </c>
    </row>
    <row r="70" spans="1:58" x14ac:dyDescent="0.25">
      <c r="A70" s="1" t="s">
        <v>449</v>
      </c>
      <c r="B70" s="1" t="s">
        <v>450</v>
      </c>
      <c r="C70" s="1" t="s">
        <v>451</v>
      </c>
      <c r="D70" s="1">
        <v>2016</v>
      </c>
      <c r="E70" s="1" t="b">
        <v>0</v>
      </c>
      <c r="F70" s="1" t="s">
        <v>1380</v>
      </c>
      <c r="G70" s="1" t="s">
        <v>1380</v>
      </c>
      <c r="H70" s="1" t="s">
        <v>22</v>
      </c>
      <c r="I70" s="1" t="s">
        <v>452</v>
      </c>
      <c r="J70" s="1" t="s">
        <v>20</v>
      </c>
      <c r="K70" s="1">
        <v>72</v>
      </c>
      <c r="L70" s="1" t="s">
        <v>453</v>
      </c>
      <c r="M70" s="1" t="s">
        <v>260</v>
      </c>
      <c r="N70" s="1" t="s">
        <v>454</v>
      </c>
      <c r="O70" s="1" t="s">
        <v>455</v>
      </c>
      <c r="P70" s="1" t="s">
        <v>133</v>
      </c>
      <c r="Q70" s="1" t="s">
        <v>1526</v>
      </c>
      <c r="R70" s="1" t="s">
        <v>2</v>
      </c>
      <c r="S70" s="1" t="s">
        <v>1528</v>
      </c>
      <c r="T70" s="1">
        <v>2</v>
      </c>
      <c r="U70" s="1" t="s">
        <v>112</v>
      </c>
      <c r="V70" s="1" t="s">
        <v>53</v>
      </c>
      <c r="W70" s="1" t="s">
        <v>13</v>
      </c>
      <c r="X70" s="1" t="s">
        <v>453</v>
      </c>
      <c r="Y70" s="1" t="s">
        <v>13</v>
      </c>
      <c r="Z70" s="1" t="s">
        <v>39</v>
      </c>
      <c r="AA70" s="1" t="s">
        <v>456</v>
      </c>
      <c r="AB70" s="1" t="s">
        <v>457</v>
      </c>
      <c r="AC70" s="1" t="s">
        <v>14</v>
      </c>
      <c r="AD70" s="1" t="s">
        <v>53</v>
      </c>
      <c r="AE70" s="1" t="s">
        <v>63</v>
      </c>
      <c r="AF70" s="1" t="s">
        <v>458</v>
      </c>
      <c r="AG70" s="1" t="s">
        <v>459</v>
      </c>
      <c r="AH70" s="1" t="s">
        <v>26</v>
      </c>
      <c r="AI70" s="1" t="s">
        <v>5</v>
      </c>
      <c r="AJ70" s="1" t="s">
        <v>460</v>
      </c>
      <c r="AK70" s="1"/>
      <c r="AL70" s="1"/>
      <c r="AM70" s="1"/>
      <c r="AN70" s="1" t="s">
        <v>461</v>
      </c>
      <c r="AO70" s="1"/>
      <c r="AP70" s="1"/>
      <c r="AQ70" s="1" t="s">
        <v>2</v>
      </c>
      <c r="AR70" s="1" t="s">
        <v>1</v>
      </c>
      <c r="AS70" s="1">
        <v>0.5</v>
      </c>
      <c r="AT70" s="1">
        <v>0.2</v>
      </c>
      <c r="AU70" s="1">
        <v>1.23</v>
      </c>
      <c r="AV70" s="1" t="s">
        <v>1</v>
      </c>
      <c r="AW70" s="1">
        <v>0.5</v>
      </c>
      <c r="AX70" s="1">
        <v>0.2</v>
      </c>
      <c r="AY70" s="1">
        <v>1.23</v>
      </c>
      <c r="AZ70" s="1" t="s">
        <v>0</v>
      </c>
      <c r="BA70" s="1" t="s">
        <v>0</v>
      </c>
      <c r="BB70" s="1"/>
      <c r="BC70" s="1"/>
      <c r="BD70" s="1"/>
      <c r="BE70" s="1" t="s">
        <v>0</v>
      </c>
      <c r="BF70" s="1" t="s">
        <v>0</v>
      </c>
    </row>
    <row r="71" spans="1:58" x14ac:dyDescent="0.25">
      <c r="A71" s="1" t="s">
        <v>471</v>
      </c>
      <c r="B71" s="1" t="s">
        <v>472</v>
      </c>
      <c r="C71" s="1" t="s">
        <v>473</v>
      </c>
      <c r="D71" s="1">
        <v>2022</v>
      </c>
      <c r="E71" s="1" t="b">
        <v>0</v>
      </c>
      <c r="F71" s="1" t="s">
        <v>1381</v>
      </c>
      <c r="G71" s="1" t="s">
        <v>1380</v>
      </c>
      <c r="H71" s="1" t="s">
        <v>22</v>
      </c>
      <c r="I71" s="1" t="s">
        <v>21</v>
      </c>
      <c r="J71" s="1" t="s">
        <v>20</v>
      </c>
      <c r="K71" s="1">
        <v>773</v>
      </c>
      <c r="L71" s="1" t="s">
        <v>474</v>
      </c>
      <c r="M71" s="1" t="s">
        <v>18</v>
      </c>
      <c r="N71" s="1" t="s">
        <v>475</v>
      </c>
      <c r="O71" s="1" t="s">
        <v>476</v>
      </c>
      <c r="P71" s="1" t="s">
        <v>15</v>
      </c>
      <c r="Q71" s="1" t="s">
        <v>1526</v>
      </c>
      <c r="R71" s="1" t="s">
        <v>2</v>
      </c>
      <c r="S71" s="1" t="s">
        <v>21</v>
      </c>
      <c r="T71" s="1">
        <v>1</v>
      </c>
      <c r="U71" s="1" t="s">
        <v>112</v>
      </c>
      <c r="V71" s="1" t="s">
        <v>53</v>
      </c>
      <c r="W71" s="1" t="s">
        <v>13</v>
      </c>
      <c r="X71" s="1" t="s">
        <v>477</v>
      </c>
      <c r="Y71" s="1">
        <v>7.6329999999999995E-2</v>
      </c>
      <c r="Z71" s="1" t="s">
        <v>11</v>
      </c>
      <c r="AA71" s="1" t="s">
        <v>349</v>
      </c>
      <c r="AB71" s="1" t="s">
        <v>349</v>
      </c>
      <c r="AC71" s="1" t="s">
        <v>67</v>
      </c>
      <c r="AD71" s="1" t="s">
        <v>53</v>
      </c>
      <c r="AE71" s="1" t="s">
        <v>8</v>
      </c>
      <c r="AF71" s="1" t="s">
        <v>478</v>
      </c>
      <c r="AG71" s="1" t="s">
        <v>479</v>
      </c>
      <c r="AH71" s="1" t="s">
        <v>26</v>
      </c>
      <c r="AI71" s="1" t="s">
        <v>36</v>
      </c>
      <c r="AJ71" s="1" t="s">
        <v>480</v>
      </c>
      <c r="AK71" s="1"/>
      <c r="AL71" s="1"/>
      <c r="AM71" s="1"/>
      <c r="AN71" s="1"/>
      <c r="AO71" s="1"/>
      <c r="AP71" s="1"/>
      <c r="AQ71" s="1" t="s">
        <v>2</v>
      </c>
      <c r="AR71" s="1" t="s">
        <v>1</v>
      </c>
      <c r="AS71" s="1">
        <v>2.1885856079404471</v>
      </c>
      <c r="AT71" s="1">
        <v>1.21</v>
      </c>
      <c r="AU71" s="1">
        <v>3.95</v>
      </c>
      <c r="AV71" s="1" t="s">
        <v>1</v>
      </c>
      <c r="AW71" s="1">
        <v>2.1885856079404471</v>
      </c>
      <c r="AX71" s="1">
        <v>1.21</v>
      </c>
      <c r="AY71" s="1">
        <v>3.95</v>
      </c>
      <c r="AZ71" s="1">
        <v>8.9999999999999993E-3</v>
      </c>
      <c r="BA71" s="1" t="s">
        <v>0</v>
      </c>
      <c r="BB71" s="1"/>
      <c r="BC71" s="1"/>
      <c r="BD71" s="1"/>
      <c r="BE71" s="1" t="s">
        <v>0</v>
      </c>
      <c r="BF71" s="1" t="s">
        <v>0</v>
      </c>
    </row>
    <row r="72" spans="1:58" x14ac:dyDescent="0.25">
      <c r="A72" s="1" t="s">
        <v>481</v>
      </c>
      <c r="B72" s="1" t="s">
        <v>482</v>
      </c>
      <c r="C72" s="1" t="s">
        <v>483</v>
      </c>
      <c r="D72" s="1">
        <v>2013</v>
      </c>
      <c r="E72" s="1" t="b">
        <v>1</v>
      </c>
      <c r="F72" s="1" t="s">
        <v>1380</v>
      </c>
      <c r="G72" s="1" t="s">
        <v>1380</v>
      </c>
      <c r="H72" s="1" t="s">
        <v>22</v>
      </c>
      <c r="I72" s="1" t="s">
        <v>21</v>
      </c>
      <c r="J72" s="1" t="s">
        <v>20</v>
      </c>
      <c r="K72" s="1">
        <v>214</v>
      </c>
      <c r="L72" s="1" t="s">
        <v>484</v>
      </c>
      <c r="M72" s="1" t="s">
        <v>18</v>
      </c>
      <c r="N72" s="1" t="s">
        <v>485</v>
      </c>
      <c r="O72" s="1" t="s">
        <v>42</v>
      </c>
      <c r="P72" s="1" t="s">
        <v>133</v>
      </c>
      <c r="Q72" s="1" t="s">
        <v>1526</v>
      </c>
      <c r="R72" s="1" t="s">
        <v>2</v>
      </c>
      <c r="S72" s="1" t="s">
        <v>21</v>
      </c>
      <c r="T72" s="1">
        <v>1</v>
      </c>
      <c r="U72" s="1" t="s">
        <v>112</v>
      </c>
      <c r="V72" s="1" t="s">
        <v>53</v>
      </c>
      <c r="W72" s="1" t="s">
        <v>13</v>
      </c>
      <c r="X72" s="1" t="s">
        <v>486</v>
      </c>
      <c r="Y72" s="1">
        <v>4.206E-2</v>
      </c>
      <c r="Z72" s="1" t="s">
        <v>11</v>
      </c>
      <c r="AA72" s="1" t="s">
        <v>487</v>
      </c>
      <c r="AB72" s="1" t="s">
        <v>487</v>
      </c>
      <c r="AC72" s="1" t="s">
        <v>112</v>
      </c>
      <c r="AD72" s="1" t="s">
        <v>53</v>
      </c>
      <c r="AE72" s="1" t="s">
        <v>63</v>
      </c>
      <c r="AF72" s="1" t="s">
        <v>488</v>
      </c>
      <c r="AG72" s="1" t="s">
        <v>489</v>
      </c>
      <c r="AH72" s="1" t="s">
        <v>26</v>
      </c>
      <c r="AI72" s="1" t="s">
        <v>36</v>
      </c>
      <c r="AJ72" s="1" t="s">
        <v>490</v>
      </c>
      <c r="AK72" s="1"/>
      <c r="AL72" s="1"/>
      <c r="AM72" s="1"/>
      <c r="AN72" s="1"/>
      <c r="AO72" s="1"/>
      <c r="AP72" s="1"/>
      <c r="AQ72" s="1" t="s">
        <v>2</v>
      </c>
      <c r="AR72" s="1" t="s">
        <v>1</v>
      </c>
      <c r="AS72" s="1">
        <v>1.734</v>
      </c>
      <c r="AT72" s="1">
        <v>0.34</v>
      </c>
      <c r="AU72" s="1">
        <v>8.76</v>
      </c>
      <c r="AV72" s="1" t="s">
        <v>1</v>
      </c>
      <c r="AW72" s="1">
        <v>1.734</v>
      </c>
      <c r="AX72" s="1">
        <v>0.34</v>
      </c>
      <c r="AY72" s="1">
        <v>8.76</v>
      </c>
      <c r="AZ72" s="1" t="s">
        <v>491</v>
      </c>
      <c r="BA72" s="1" t="s">
        <v>0</v>
      </c>
      <c r="BB72" s="1"/>
      <c r="BC72" s="1"/>
      <c r="BD72" s="1"/>
      <c r="BE72" s="1" t="s">
        <v>0</v>
      </c>
      <c r="BF72" s="1" t="s">
        <v>0</v>
      </c>
    </row>
    <row r="73" spans="1:58" x14ac:dyDescent="0.25">
      <c r="A73" s="1" t="s">
        <v>492</v>
      </c>
      <c r="B73" s="1" t="s">
        <v>493</v>
      </c>
      <c r="C73" s="1" t="s">
        <v>483</v>
      </c>
      <c r="D73" s="1">
        <v>2016</v>
      </c>
      <c r="E73" s="1" t="b">
        <v>0</v>
      </c>
      <c r="F73" s="1" t="s">
        <v>1380</v>
      </c>
      <c r="G73" s="1" t="s">
        <v>1380</v>
      </c>
      <c r="H73" s="1" t="s">
        <v>22</v>
      </c>
      <c r="I73" s="1" t="s">
        <v>21</v>
      </c>
      <c r="J73" s="1" t="s">
        <v>20</v>
      </c>
      <c r="K73" s="1">
        <v>400</v>
      </c>
      <c r="L73" s="1" t="s">
        <v>494</v>
      </c>
      <c r="M73" s="1" t="s">
        <v>260</v>
      </c>
      <c r="N73" s="1" t="s">
        <v>17</v>
      </c>
      <c r="O73" s="1" t="s">
        <v>495</v>
      </c>
      <c r="P73" s="1" t="s">
        <v>15</v>
      </c>
      <c r="Q73" s="1" t="s">
        <v>1526</v>
      </c>
      <c r="R73" s="1" t="s">
        <v>2</v>
      </c>
      <c r="S73" s="1" t="s">
        <v>21</v>
      </c>
      <c r="T73" s="1">
        <v>1</v>
      </c>
      <c r="U73" s="1" t="s">
        <v>112</v>
      </c>
      <c r="V73" s="1" t="s">
        <v>53</v>
      </c>
      <c r="W73" s="1" t="s">
        <v>13</v>
      </c>
      <c r="X73" s="1" t="s">
        <v>496</v>
      </c>
      <c r="Y73" s="1" t="s">
        <v>512</v>
      </c>
      <c r="Z73" s="1" t="s">
        <v>513</v>
      </c>
      <c r="AA73" s="1" t="s">
        <v>514</v>
      </c>
      <c r="AB73" s="1" t="s">
        <v>514</v>
      </c>
      <c r="AC73" s="1" t="s">
        <v>14</v>
      </c>
      <c r="AD73" s="1" t="s">
        <v>53</v>
      </c>
      <c r="AE73" s="1" t="s">
        <v>515</v>
      </c>
      <c r="AF73" s="1" t="s">
        <v>516</v>
      </c>
      <c r="AG73" s="1" t="s">
        <v>517</v>
      </c>
      <c r="AH73" s="1" t="s">
        <v>26</v>
      </c>
      <c r="AI73" s="1" t="s">
        <v>36</v>
      </c>
      <c r="AJ73" s="1" t="s">
        <v>502</v>
      </c>
      <c r="AK73" s="1"/>
      <c r="AL73" s="1"/>
      <c r="AM73" s="1"/>
      <c r="AN73" s="1"/>
      <c r="AO73" s="1"/>
      <c r="AP73" s="1"/>
      <c r="AQ73" s="1" t="s">
        <v>2</v>
      </c>
      <c r="AR73" s="1" t="s">
        <v>1</v>
      </c>
      <c r="AS73" s="1">
        <v>1.62</v>
      </c>
      <c r="AT73" s="1">
        <v>1</v>
      </c>
      <c r="AU73" s="1">
        <v>2.63</v>
      </c>
      <c r="AV73" s="1" t="s">
        <v>1</v>
      </c>
      <c r="AW73" s="1">
        <v>1.61</v>
      </c>
      <c r="AX73" s="1">
        <v>1.04</v>
      </c>
      <c r="AY73" s="1">
        <v>2.4900000000000002</v>
      </c>
      <c r="AZ73" s="1">
        <v>3.3000000000000002E-2</v>
      </c>
      <c r="BA73" s="1" t="s">
        <v>1</v>
      </c>
      <c r="BB73" s="1">
        <v>1.62</v>
      </c>
      <c r="BC73" s="1">
        <v>1</v>
      </c>
      <c r="BD73" s="1">
        <v>2.63</v>
      </c>
      <c r="BE73" s="1" t="s">
        <v>0</v>
      </c>
      <c r="BF73" s="1" t="s">
        <v>1454</v>
      </c>
    </row>
    <row r="74" spans="1:58" x14ac:dyDescent="0.25">
      <c r="A74" s="1" t="s">
        <v>492</v>
      </c>
      <c r="B74" s="1" t="s">
        <v>493</v>
      </c>
      <c r="C74" s="1" t="s">
        <v>483</v>
      </c>
      <c r="D74" s="1">
        <v>2016</v>
      </c>
      <c r="E74" s="1" t="b">
        <v>0</v>
      </c>
      <c r="F74" s="1" t="s">
        <v>1380</v>
      </c>
      <c r="G74" s="1" t="s">
        <v>1380</v>
      </c>
      <c r="H74" s="1" t="s">
        <v>22</v>
      </c>
      <c r="I74" s="1" t="s">
        <v>21</v>
      </c>
      <c r="J74" s="1" t="s">
        <v>20</v>
      </c>
      <c r="K74" s="1">
        <v>400</v>
      </c>
      <c r="L74" s="1" t="s">
        <v>494</v>
      </c>
      <c r="M74" s="1" t="s">
        <v>260</v>
      </c>
      <c r="N74" s="1" t="s">
        <v>17</v>
      </c>
      <c r="O74" s="1" t="s">
        <v>495</v>
      </c>
      <c r="P74" s="1" t="s">
        <v>15</v>
      </c>
      <c r="Q74" s="1" t="s">
        <v>1526</v>
      </c>
      <c r="R74" s="1" t="s">
        <v>2</v>
      </c>
      <c r="S74" s="1" t="s">
        <v>21</v>
      </c>
      <c r="T74" s="1">
        <v>1</v>
      </c>
      <c r="U74" s="1" t="s">
        <v>112</v>
      </c>
      <c r="V74" s="1" t="s">
        <v>53</v>
      </c>
      <c r="W74" s="1" t="s">
        <v>13</v>
      </c>
      <c r="X74" s="1" t="s">
        <v>496</v>
      </c>
      <c r="Y74" s="1" t="s">
        <v>497</v>
      </c>
      <c r="Z74" s="1" t="s">
        <v>39</v>
      </c>
      <c r="AA74" s="1" t="s">
        <v>498</v>
      </c>
      <c r="AB74" s="1" t="s">
        <v>499</v>
      </c>
      <c r="AC74" s="1" t="s">
        <v>14</v>
      </c>
      <c r="AD74" s="1" t="s">
        <v>53</v>
      </c>
      <c r="AE74" s="1" t="s">
        <v>74</v>
      </c>
      <c r="AF74" s="1" t="s">
        <v>500</v>
      </c>
      <c r="AG74" s="1" t="s">
        <v>501</v>
      </c>
      <c r="AH74" s="1" t="s">
        <v>26</v>
      </c>
      <c r="AI74" s="1" t="s">
        <v>36</v>
      </c>
      <c r="AJ74" s="1" t="s">
        <v>502</v>
      </c>
      <c r="AK74" s="1"/>
      <c r="AL74" s="1"/>
      <c r="AM74" s="1"/>
      <c r="AN74" s="1"/>
      <c r="AO74" s="1"/>
      <c r="AP74" s="1"/>
      <c r="AQ74" s="1" t="s">
        <v>2</v>
      </c>
      <c r="AR74" s="1" t="s">
        <v>1</v>
      </c>
      <c r="AS74" s="1">
        <v>1.07</v>
      </c>
      <c r="AT74" s="1">
        <v>0.53</v>
      </c>
      <c r="AU74" s="1">
        <v>2.1800000000000002</v>
      </c>
      <c r="AV74" s="1" t="s">
        <v>1</v>
      </c>
      <c r="AW74" s="1">
        <v>1.07</v>
      </c>
      <c r="AX74" s="1">
        <v>0.53</v>
      </c>
      <c r="AY74" s="1">
        <v>2.1800000000000002</v>
      </c>
      <c r="AZ74" s="1" t="s">
        <v>503</v>
      </c>
      <c r="BA74" s="1" t="s">
        <v>0</v>
      </c>
      <c r="BB74" s="1"/>
      <c r="BC74" s="1"/>
      <c r="BD74" s="1"/>
      <c r="BE74" s="1" t="s">
        <v>0</v>
      </c>
      <c r="BF74" s="1" t="s">
        <v>0</v>
      </c>
    </row>
    <row r="75" spans="1:58" x14ac:dyDescent="0.25">
      <c r="A75" s="1" t="s">
        <v>492</v>
      </c>
      <c r="B75" s="1" t="s">
        <v>493</v>
      </c>
      <c r="C75" s="1" t="s">
        <v>483</v>
      </c>
      <c r="D75" s="1">
        <v>2016</v>
      </c>
      <c r="E75" s="1" t="b">
        <v>0</v>
      </c>
      <c r="F75" s="1" t="s">
        <v>1380</v>
      </c>
      <c r="G75" s="1" t="s">
        <v>1380</v>
      </c>
      <c r="H75" s="1" t="s">
        <v>22</v>
      </c>
      <c r="I75" s="1" t="s">
        <v>21</v>
      </c>
      <c r="J75" s="1" t="s">
        <v>20</v>
      </c>
      <c r="K75" s="1">
        <v>400</v>
      </c>
      <c r="L75" s="1" t="s">
        <v>494</v>
      </c>
      <c r="M75" s="1" t="s">
        <v>260</v>
      </c>
      <c r="N75" s="1" t="s">
        <v>17</v>
      </c>
      <c r="O75" s="1" t="s">
        <v>495</v>
      </c>
      <c r="P75" s="1" t="s">
        <v>15</v>
      </c>
      <c r="Q75" s="1" t="s">
        <v>1526</v>
      </c>
      <c r="R75" s="1" t="s">
        <v>2</v>
      </c>
      <c r="S75" s="1" t="s">
        <v>21</v>
      </c>
      <c r="T75" s="1">
        <v>1</v>
      </c>
      <c r="U75" s="1" t="s">
        <v>112</v>
      </c>
      <c r="V75" s="1" t="s">
        <v>53</v>
      </c>
      <c r="W75" s="1" t="s">
        <v>13</v>
      </c>
      <c r="X75" s="1" t="s">
        <v>496</v>
      </c>
      <c r="Y75" s="1" t="s">
        <v>497</v>
      </c>
      <c r="Z75" s="1" t="s">
        <v>39</v>
      </c>
      <c r="AA75" s="1" t="s">
        <v>504</v>
      </c>
      <c r="AB75" s="1" t="s">
        <v>499</v>
      </c>
      <c r="AC75" s="1" t="s">
        <v>14</v>
      </c>
      <c r="AD75" s="1" t="s">
        <v>53</v>
      </c>
      <c r="AE75" s="1" t="s">
        <v>160</v>
      </c>
      <c r="AF75" s="1" t="s">
        <v>505</v>
      </c>
      <c r="AG75" s="1" t="s">
        <v>506</v>
      </c>
      <c r="AH75" s="1" t="s">
        <v>26</v>
      </c>
      <c r="AI75" s="1" t="s">
        <v>36</v>
      </c>
      <c r="AJ75" s="1" t="s">
        <v>502</v>
      </c>
      <c r="AK75" s="1"/>
      <c r="AL75" s="1"/>
      <c r="AM75" s="1"/>
      <c r="AN75" s="1"/>
      <c r="AO75" s="1"/>
      <c r="AP75" s="1"/>
      <c r="AQ75" s="1" t="s">
        <v>2</v>
      </c>
      <c r="AR75" s="1" t="s">
        <v>1</v>
      </c>
      <c r="AS75" s="1">
        <v>0.83</v>
      </c>
      <c r="AT75" s="1">
        <v>0.47</v>
      </c>
      <c r="AU75" s="1">
        <v>1.47</v>
      </c>
      <c r="AV75" s="1" t="s">
        <v>1</v>
      </c>
      <c r="AW75" s="1">
        <v>0.83</v>
      </c>
      <c r="AX75" s="1">
        <v>0.47</v>
      </c>
      <c r="AY75" s="1">
        <v>1.47</v>
      </c>
      <c r="AZ75" s="1" t="s">
        <v>507</v>
      </c>
      <c r="BA75" s="1" t="s">
        <v>0</v>
      </c>
      <c r="BB75" s="1"/>
      <c r="BC75" s="1"/>
      <c r="BD75" s="1"/>
      <c r="BE75" s="1" t="s">
        <v>0</v>
      </c>
      <c r="BF75" s="1" t="s">
        <v>0</v>
      </c>
    </row>
    <row r="76" spans="1:58" x14ac:dyDescent="0.25">
      <c r="A76" s="1" t="s">
        <v>492</v>
      </c>
      <c r="B76" s="1" t="s">
        <v>493</v>
      </c>
      <c r="C76" s="1" t="s">
        <v>483</v>
      </c>
      <c r="D76" s="1">
        <v>2016</v>
      </c>
      <c r="E76" s="1" t="b">
        <v>0</v>
      </c>
      <c r="F76" s="1" t="s">
        <v>1380</v>
      </c>
      <c r="G76" s="1" t="s">
        <v>1380</v>
      </c>
      <c r="H76" s="1" t="s">
        <v>22</v>
      </c>
      <c r="I76" s="1" t="s">
        <v>21</v>
      </c>
      <c r="J76" s="1" t="s">
        <v>20</v>
      </c>
      <c r="K76" s="1">
        <v>400</v>
      </c>
      <c r="L76" s="1" t="s">
        <v>494</v>
      </c>
      <c r="M76" s="1" t="s">
        <v>260</v>
      </c>
      <c r="N76" s="1" t="s">
        <v>17</v>
      </c>
      <c r="O76" s="1" t="s">
        <v>495</v>
      </c>
      <c r="P76" s="1" t="s">
        <v>15</v>
      </c>
      <c r="Q76" s="1" t="s">
        <v>1526</v>
      </c>
      <c r="R76" s="1" t="s">
        <v>2</v>
      </c>
      <c r="S76" s="1" t="s">
        <v>21</v>
      </c>
      <c r="T76" s="1">
        <v>1</v>
      </c>
      <c r="U76" s="1" t="s">
        <v>112</v>
      </c>
      <c r="V76" s="1" t="s">
        <v>53</v>
      </c>
      <c r="W76" s="1" t="s">
        <v>13</v>
      </c>
      <c r="X76" s="1" t="s">
        <v>496</v>
      </c>
      <c r="Y76" s="1" t="s">
        <v>497</v>
      </c>
      <c r="Z76" s="1" t="s">
        <v>39</v>
      </c>
      <c r="AA76" s="1" t="s">
        <v>508</v>
      </c>
      <c r="AB76" s="1" t="s">
        <v>237</v>
      </c>
      <c r="AC76" s="1" t="s">
        <v>14</v>
      </c>
      <c r="AD76" s="1" t="s">
        <v>53</v>
      </c>
      <c r="AE76" s="1" t="s">
        <v>63</v>
      </c>
      <c r="AF76" s="1" t="s">
        <v>509</v>
      </c>
      <c r="AG76" s="1" t="s">
        <v>510</v>
      </c>
      <c r="AH76" s="1" t="s">
        <v>26</v>
      </c>
      <c r="AI76" s="1" t="s">
        <v>36</v>
      </c>
      <c r="AJ76" s="1" t="s">
        <v>502</v>
      </c>
      <c r="AK76" s="1"/>
      <c r="AL76" s="1"/>
      <c r="AM76" s="1"/>
      <c r="AN76" s="1"/>
      <c r="AO76" s="1"/>
      <c r="AP76" s="1"/>
      <c r="AQ76" s="1" t="s">
        <v>2</v>
      </c>
      <c r="AR76" s="1" t="s">
        <v>1</v>
      </c>
      <c r="AS76" s="1">
        <v>0.82</v>
      </c>
      <c r="AT76" s="1">
        <v>0.5</v>
      </c>
      <c r="AU76" s="1">
        <v>1.35</v>
      </c>
      <c r="AV76" s="1" t="s">
        <v>1</v>
      </c>
      <c r="AW76" s="1">
        <v>0.82</v>
      </c>
      <c r="AX76" s="1">
        <v>0.5</v>
      </c>
      <c r="AY76" s="1">
        <v>1.35</v>
      </c>
      <c r="AZ76" s="1" t="s">
        <v>511</v>
      </c>
      <c r="BA76" s="1" t="s">
        <v>0</v>
      </c>
      <c r="BB76" s="1"/>
      <c r="BC76" s="1"/>
      <c r="BD76" s="1"/>
      <c r="BE76" s="1" t="s">
        <v>0</v>
      </c>
      <c r="BF76" s="1" t="s">
        <v>0</v>
      </c>
    </row>
    <row r="77" spans="1:58" x14ac:dyDescent="0.25">
      <c r="A77" s="1" t="s">
        <v>518</v>
      </c>
      <c r="B77" s="1" t="s">
        <v>519</v>
      </c>
      <c r="C77" s="1" t="s">
        <v>483</v>
      </c>
      <c r="D77" s="1">
        <v>2016</v>
      </c>
      <c r="E77" s="1" t="b">
        <v>0</v>
      </c>
      <c r="F77" s="1" t="s">
        <v>1380</v>
      </c>
      <c r="G77" s="1" t="s">
        <v>1380</v>
      </c>
      <c r="H77" s="1" t="s">
        <v>22</v>
      </c>
      <c r="I77" s="1" t="s">
        <v>452</v>
      </c>
      <c r="J77" s="1" t="s">
        <v>20</v>
      </c>
      <c r="K77" s="1">
        <v>74</v>
      </c>
      <c r="L77" s="1" t="s">
        <v>78</v>
      </c>
      <c r="M77" s="1" t="s">
        <v>260</v>
      </c>
      <c r="N77" s="1" t="s">
        <v>454</v>
      </c>
      <c r="O77" s="1" t="s">
        <v>455</v>
      </c>
      <c r="P77" s="1" t="s">
        <v>133</v>
      </c>
      <c r="Q77" s="1" t="s">
        <v>1526</v>
      </c>
      <c r="R77" s="1" t="s">
        <v>2</v>
      </c>
      <c r="S77" s="1" t="s">
        <v>1528</v>
      </c>
      <c r="T77" s="1">
        <v>2</v>
      </c>
      <c r="U77" s="1" t="s">
        <v>112</v>
      </c>
      <c r="V77" s="1" t="s">
        <v>53</v>
      </c>
      <c r="W77" s="1" t="s">
        <v>13</v>
      </c>
      <c r="X77" s="1" t="s">
        <v>78</v>
      </c>
      <c r="Y77" s="1" t="s">
        <v>13</v>
      </c>
      <c r="Z77" s="1" t="s">
        <v>39</v>
      </c>
      <c r="AA77" s="1" t="s">
        <v>520</v>
      </c>
      <c r="AB77" s="1" t="s">
        <v>457</v>
      </c>
      <c r="AC77" s="1" t="s">
        <v>14</v>
      </c>
      <c r="AD77" s="1" t="s">
        <v>53</v>
      </c>
      <c r="AE77" s="1" t="s">
        <v>63</v>
      </c>
      <c r="AF77" s="1" t="s">
        <v>521</v>
      </c>
      <c r="AG77" s="1" t="s">
        <v>522</v>
      </c>
      <c r="AH77" s="1" t="s">
        <v>26</v>
      </c>
      <c r="AI77" s="1" t="s">
        <v>523</v>
      </c>
      <c r="AJ77" s="1" t="s">
        <v>524</v>
      </c>
      <c r="AK77" s="1" t="s">
        <v>523</v>
      </c>
      <c r="AL77" s="1" t="s">
        <v>525</v>
      </c>
      <c r="AM77" s="1" t="s">
        <v>26</v>
      </c>
      <c r="AN77" s="1"/>
      <c r="AO77" s="1"/>
      <c r="AP77" s="1"/>
      <c r="AQ77" s="1" t="s">
        <v>2</v>
      </c>
      <c r="AR77" s="1" t="s">
        <v>1</v>
      </c>
      <c r="AS77" s="1">
        <v>0.71</v>
      </c>
      <c r="AT77" s="1">
        <v>0.17</v>
      </c>
      <c r="AU77" s="1">
        <v>3.03</v>
      </c>
      <c r="AV77" s="1" t="s">
        <v>1</v>
      </c>
      <c r="AW77" s="1">
        <v>0.71</v>
      </c>
      <c r="AX77" s="1">
        <v>0.17</v>
      </c>
      <c r="AY77" s="1">
        <v>3.03</v>
      </c>
      <c r="AZ77" s="1">
        <v>0.64800000000000002</v>
      </c>
      <c r="BA77" s="1" t="s">
        <v>0</v>
      </c>
      <c r="BB77" s="1"/>
      <c r="BC77" s="1"/>
      <c r="BD77" s="1"/>
      <c r="BE77" s="1" t="s">
        <v>0</v>
      </c>
      <c r="BF77" s="1" t="s">
        <v>0</v>
      </c>
    </row>
    <row r="78" spans="1:58" x14ac:dyDescent="0.25">
      <c r="A78" s="1" t="s">
        <v>526</v>
      </c>
      <c r="B78" s="1" t="s">
        <v>527</v>
      </c>
      <c r="C78" s="1" t="s">
        <v>483</v>
      </c>
      <c r="D78" s="1">
        <v>2019</v>
      </c>
      <c r="E78" s="1" t="b">
        <v>0</v>
      </c>
      <c r="F78" s="1" t="s">
        <v>1381</v>
      </c>
      <c r="G78" s="1" t="s">
        <v>1380</v>
      </c>
      <c r="H78" s="1" t="s">
        <v>22</v>
      </c>
      <c r="I78" s="1" t="s">
        <v>21</v>
      </c>
      <c r="J78" s="1" t="s">
        <v>20</v>
      </c>
      <c r="K78" s="1">
        <v>400</v>
      </c>
      <c r="L78" s="1" t="s">
        <v>528</v>
      </c>
      <c r="M78" s="1" t="s">
        <v>260</v>
      </c>
      <c r="N78" s="1" t="s">
        <v>17</v>
      </c>
      <c r="O78" s="1" t="s">
        <v>495</v>
      </c>
      <c r="P78" s="1" t="s">
        <v>15</v>
      </c>
      <c r="Q78" s="1" t="s">
        <v>1526</v>
      </c>
      <c r="R78" s="1" t="s">
        <v>2</v>
      </c>
      <c r="S78" s="1" t="s">
        <v>21</v>
      </c>
      <c r="T78" s="1">
        <v>1</v>
      </c>
      <c r="U78" s="1" t="s">
        <v>112</v>
      </c>
      <c r="V78" s="1" t="s">
        <v>53</v>
      </c>
      <c r="W78" s="1" t="s">
        <v>13</v>
      </c>
      <c r="X78" s="1" t="s">
        <v>528</v>
      </c>
      <c r="Y78" s="1" t="s">
        <v>13</v>
      </c>
      <c r="Z78" s="1" t="s">
        <v>39</v>
      </c>
      <c r="AA78" s="1" t="s">
        <v>529</v>
      </c>
      <c r="AB78" s="1" t="s">
        <v>530</v>
      </c>
      <c r="AC78" s="1" t="s">
        <v>14</v>
      </c>
      <c r="AD78" s="1" t="s">
        <v>53</v>
      </c>
      <c r="AE78" s="1" t="s">
        <v>63</v>
      </c>
      <c r="AF78" s="1" t="s">
        <v>531</v>
      </c>
      <c r="AG78" s="1" t="s">
        <v>532</v>
      </c>
      <c r="AH78" s="1" t="s">
        <v>26</v>
      </c>
      <c r="AI78" s="1" t="s">
        <v>30</v>
      </c>
      <c r="AJ78" s="1" t="s">
        <v>49</v>
      </c>
      <c r="AK78" s="1" t="s">
        <v>28</v>
      </c>
      <c r="AL78" s="1" t="s">
        <v>48</v>
      </c>
      <c r="AM78" s="1" t="s">
        <v>26</v>
      </c>
      <c r="AN78" s="1"/>
      <c r="AO78" s="1"/>
      <c r="AP78" s="1"/>
      <c r="AQ78" s="1" t="s">
        <v>2</v>
      </c>
      <c r="AR78" s="1" t="s">
        <v>1</v>
      </c>
      <c r="AS78" s="1">
        <v>0.65824915824915819</v>
      </c>
      <c r="AT78" s="1">
        <v>0.28000000000000003</v>
      </c>
      <c r="AU78" s="1">
        <v>1.53</v>
      </c>
      <c r="AV78" s="1" t="s">
        <v>1</v>
      </c>
      <c r="AW78" s="1">
        <v>0.65824915824915819</v>
      </c>
      <c r="AX78" s="1">
        <v>0.28000000000000003</v>
      </c>
      <c r="AY78" s="1">
        <v>1.53</v>
      </c>
      <c r="AZ78" s="1" t="s">
        <v>533</v>
      </c>
      <c r="BA78" s="1" t="s">
        <v>0</v>
      </c>
      <c r="BB78" s="1"/>
      <c r="BC78" s="1"/>
      <c r="BD78" s="1"/>
      <c r="BE78" s="1" t="s">
        <v>0</v>
      </c>
      <c r="BF78" s="1" t="s">
        <v>0</v>
      </c>
    </row>
    <row r="79" spans="1:58" x14ac:dyDescent="0.25">
      <c r="A79" s="1" t="s">
        <v>526</v>
      </c>
      <c r="B79" s="1" t="s">
        <v>527</v>
      </c>
      <c r="C79" s="1" t="s">
        <v>483</v>
      </c>
      <c r="D79" s="1">
        <v>2019</v>
      </c>
      <c r="E79" s="1" t="b">
        <v>0</v>
      </c>
      <c r="F79" s="1" t="s">
        <v>1381</v>
      </c>
      <c r="G79" s="1" t="s">
        <v>1380</v>
      </c>
      <c r="H79" s="1" t="s">
        <v>22</v>
      </c>
      <c r="I79" s="1" t="s">
        <v>21</v>
      </c>
      <c r="J79" s="1" t="s">
        <v>20</v>
      </c>
      <c r="K79" s="1">
        <v>400</v>
      </c>
      <c r="L79" s="1" t="s">
        <v>528</v>
      </c>
      <c r="M79" s="1" t="s">
        <v>260</v>
      </c>
      <c r="N79" s="1" t="s">
        <v>17</v>
      </c>
      <c r="O79" s="1" t="s">
        <v>495</v>
      </c>
      <c r="P79" s="1" t="s">
        <v>15</v>
      </c>
      <c r="Q79" s="1" t="s">
        <v>1526</v>
      </c>
      <c r="R79" s="1" t="s">
        <v>2</v>
      </c>
      <c r="S79" s="1" t="s">
        <v>21</v>
      </c>
      <c r="T79" s="1">
        <v>1</v>
      </c>
      <c r="U79" s="1" t="s">
        <v>112</v>
      </c>
      <c r="V79" s="1" t="s">
        <v>53</v>
      </c>
      <c r="W79" s="1" t="s">
        <v>13</v>
      </c>
      <c r="X79" s="1" t="s">
        <v>528</v>
      </c>
      <c r="Y79" s="1" t="s">
        <v>13</v>
      </c>
      <c r="Z79" s="1" t="s">
        <v>80</v>
      </c>
      <c r="AA79" s="1" t="s">
        <v>534</v>
      </c>
      <c r="AB79" s="1" t="s">
        <v>534</v>
      </c>
      <c r="AC79" s="1" t="s">
        <v>14</v>
      </c>
      <c r="AD79" s="1" t="s">
        <v>53</v>
      </c>
      <c r="AE79" s="1" t="s">
        <v>160</v>
      </c>
      <c r="AF79" s="1" t="s">
        <v>62</v>
      </c>
      <c r="AG79" s="1" t="s">
        <v>535</v>
      </c>
      <c r="AH79" s="1" t="s">
        <v>26</v>
      </c>
      <c r="AI79" s="1" t="s">
        <v>30</v>
      </c>
      <c r="AJ79" s="1" t="s">
        <v>49</v>
      </c>
      <c r="AK79" s="1" t="s">
        <v>28</v>
      </c>
      <c r="AL79" s="1" t="s">
        <v>48</v>
      </c>
      <c r="AM79" s="1" t="s">
        <v>26</v>
      </c>
      <c r="AN79" s="1"/>
      <c r="AO79" s="1"/>
      <c r="AP79" s="1"/>
      <c r="AQ79" s="1" t="s">
        <v>2</v>
      </c>
      <c r="AR79" s="1" t="s">
        <v>1</v>
      </c>
      <c r="AS79" s="1">
        <v>0.79999999999999993</v>
      </c>
      <c r="AT79" s="1">
        <v>0.35</v>
      </c>
      <c r="AU79" s="1">
        <v>1.84</v>
      </c>
      <c r="AV79" s="1" t="s">
        <v>1</v>
      </c>
      <c r="AW79" s="1">
        <v>0.79999999999999993</v>
      </c>
      <c r="AX79" s="1">
        <v>0.35</v>
      </c>
      <c r="AY79" s="1">
        <v>1.84</v>
      </c>
      <c r="AZ79" s="1" t="s">
        <v>536</v>
      </c>
      <c r="BA79" s="1" t="s">
        <v>0</v>
      </c>
      <c r="BB79" s="1"/>
      <c r="BC79" s="1"/>
      <c r="BD79" s="1"/>
      <c r="BE79" s="1" t="s">
        <v>0</v>
      </c>
      <c r="BF79" s="1" t="s">
        <v>0</v>
      </c>
    </row>
    <row r="80" spans="1:58" x14ac:dyDescent="0.25">
      <c r="A80" s="1" t="s">
        <v>537</v>
      </c>
      <c r="B80" s="1" t="s">
        <v>538</v>
      </c>
      <c r="C80" s="1" t="s">
        <v>539</v>
      </c>
      <c r="D80" s="1">
        <v>2023</v>
      </c>
      <c r="E80" s="1" t="b">
        <v>0</v>
      </c>
      <c r="F80" s="1" t="s">
        <v>1381</v>
      </c>
      <c r="G80" s="1" t="s">
        <v>1380</v>
      </c>
      <c r="H80" s="1" t="s">
        <v>22</v>
      </c>
      <c r="I80" s="1" t="s">
        <v>21</v>
      </c>
      <c r="J80" s="1" t="s">
        <v>20</v>
      </c>
      <c r="K80" s="1">
        <v>5990</v>
      </c>
      <c r="L80" s="1">
        <v>5679</v>
      </c>
      <c r="M80" s="1" t="s">
        <v>260</v>
      </c>
      <c r="N80" s="1" t="s">
        <v>304</v>
      </c>
      <c r="O80" s="1" t="s">
        <v>42</v>
      </c>
      <c r="P80" s="1" t="s">
        <v>15</v>
      </c>
      <c r="Q80" s="1" t="s">
        <v>1526</v>
      </c>
      <c r="R80" s="1" t="s">
        <v>35</v>
      </c>
      <c r="S80" s="1" t="s">
        <v>21</v>
      </c>
      <c r="T80" s="1">
        <v>2</v>
      </c>
      <c r="U80" s="1" t="s">
        <v>14</v>
      </c>
      <c r="V80" s="1" t="s">
        <v>53</v>
      </c>
      <c r="W80" s="1" t="s">
        <v>13</v>
      </c>
      <c r="X80" s="1" t="s">
        <v>540</v>
      </c>
      <c r="Y80" s="1">
        <v>4.6489999999999997E-2</v>
      </c>
      <c r="Z80" s="1" t="s">
        <v>11</v>
      </c>
      <c r="AA80" s="1" t="s">
        <v>541</v>
      </c>
      <c r="AB80" s="1" t="s">
        <v>541</v>
      </c>
      <c r="AC80" s="1" t="s">
        <v>9</v>
      </c>
      <c r="AD80" s="1" t="s">
        <v>9</v>
      </c>
      <c r="AE80" s="1" t="s">
        <v>8</v>
      </c>
      <c r="AF80" s="1" t="s">
        <v>542</v>
      </c>
      <c r="AG80" s="1" t="s">
        <v>543</v>
      </c>
      <c r="AH80" s="1" t="s">
        <v>26</v>
      </c>
      <c r="AI80" s="1" t="s">
        <v>36</v>
      </c>
      <c r="AJ80" s="1" t="s">
        <v>544</v>
      </c>
      <c r="AK80" s="1"/>
      <c r="AL80" s="1"/>
      <c r="AM80" s="1"/>
      <c r="AN80" s="1"/>
      <c r="AO80" s="1"/>
      <c r="AP80" s="1"/>
      <c r="AQ80" s="1" t="s">
        <v>35</v>
      </c>
      <c r="AR80" s="1" t="s">
        <v>1</v>
      </c>
      <c r="AS80" s="1">
        <v>1.38</v>
      </c>
      <c r="AT80" s="1">
        <v>1.02</v>
      </c>
      <c r="AU80" s="1">
        <v>1.89</v>
      </c>
      <c r="AV80" s="1" t="s">
        <v>1</v>
      </c>
      <c r="AW80" s="1">
        <v>1.2569999999999999</v>
      </c>
      <c r="AX80" s="1">
        <v>0.91100000000000003</v>
      </c>
      <c r="AY80" s="1">
        <v>1.7350000000000001</v>
      </c>
      <c r="AZ80" s="1" t="s">
        <v>545</v>
      </c>
      <c r="BA80" s="1" t="s">
        <v>1</v>
      </c>
      <c r="BB80" s="1">
        <v>1.38</v>
      </c>
      <c r="BC80" s="1">
        <v>1.02</v>
      </c>
      <c r="BD80" s="1">
        <v>1.89</v>
      </c>
      <c r="BE80" s="1" t="s">
        <v>0</v>
      </c>
      <c r="BF80" s="1" t="s">
        <v>546</v>
      </c>
    </row>
    <row r="81" spans="1:58" x14ac:dyDescent="0.25">
      <c r="A81" s="1" t="s">
        <v>547</v>
      </c>
      <c r="B81" s="1" t="s">
        <v>548</v>
      </c>
      <c r="C81" s="1" t="s">
        <v>549</v>
      </c>
      <c r="D81" s="1">
        <v>2018</v>
      </c>
      <c r="E81" s="1" t="b">
        <v>0</v>
      </c>
      <c r="F81" s="1" t="s">
        <v>1381</v>
      </c>
      <c r="G81" s="1" t="s">
        <v>1380</v>
      </c>
      <c r="H81" s="1" t="s">
        <v>22</v>
      </c>
      <c r="I81" s="1" t="s">
        <v>21</v>
      </c>
      <c r="J81" s="1" t="s">
        <v>20</v>
      </c>
      <c r="K81" s="1">
        <v>496</v>
      </c>
      <c r="L81" s="1" t="s">
        <v>550</v>
      </c>
      <c r="M81" s="1" t="s">
        <v>260</v>
      </c>
      <c r="N81" s="1" t="s">
        <v>475</v>
      </c>
      <c r="O81" s="1" t="s">
        <v>551</v>
      </c>
      <c r="P81" s="1" t="s">
        <v>15</v>
      </c>
      <c r="Q81" s="1" t="s">
        <v>1526</v>
      </c>
      <c r="R81" s="1" t="s">
        <v>35</v>
      </c>
      <c r="S81" s="1" t="s">
        <v>21</v>
      </c>
      <c r="T81" s="1">
        <v>2</v>
      </c>
      <c r="U81" s="1" t="s">
        <v>112</v>
      </c>
      <c r="V81" s="1" t="s">
        <v>53</v>
      </c>
      <c r="W81" s="1" t="s">
        <v>13</v>
      </c>
      <c r="X81" s="1" t="s">
        <v>552</v>
      </c>
      <c r="Y81" s="1" t="s">
        <v>553</v>
      </c>
      <c r="Z81" s="1" t="s">
        <v>39</v>
      </c>
      <c r="AA81" s="1" t="s">
        <v>554</v>
      </c>
      <c r="AB81" s="1" t="s">
        <v>555</v>
      </c>
      <c r="AC81" s="1" t="s">
        <v>14</v>
      </c>
      <c r="AD81" s="1" t="s">
        <v>53</v>
      </c>
      <c r="AE81" s="1" t="s">
        <v>8</v>
      </c>
      <c r="AF81" s="1" t="s">
        <v>556</v>
      </c>
      <c r="AG81" s="1" t="s">
        <v>557</v>
      </c>
      <c r="AH81" s="1" t="s">
        <v>26</v>
      </c>
      <c r="AI81" s="1" t="s">
        <v>36</v>
      </c>
      <c r="AJ81" s="1" t="s">
        <v>157</v>
      </c>
      <c r="AK81" s="1"/>
      <c r="AL81" s="1"/>
      <c r="AM81" s="1"/>
      <c r="AN81" s="1"/>
      <c r="AO81" s="1"/>
      <c r="AP81" s="1"/>
      <c r="AQ81" s="1" t="s">
        <v>35</v>
      </c>
      <c r="AR81" s="1" t="s">
        <v>1</v>
      </c>
      <c r="AS81" s="1">
        <v>1.37</v>
      </c>
      <c r="AT81" s="1">
        <v>0.92</v>
      </c>
      <c r="AU81" s="1">
        <v>2.04</v>
      </c>
      <c r="AV81" s="1" t="s">
        <v>1</v>
      </c>
      <c r="AW81" s="1">
        <v>1.1499999999999999</v>
      </c>
      <c r="AX81" s="1">
        <v>0.82</v>
      </c>
      <c r="AY81" s="1">
        <v>1.61</v>
      </c>
      <c r="AZ81" s="1" t="s">
        <v>0</v>
      </c>
      <c r="BA81" s="1" t="s">
        <v>1</v>
      </c>
      <c r="BB81" s="1">
        <v>1.37</v>
      </c>
      <c r="BC81" s="1">
        <v>0.92</v>
      </c>
      <c r="BD81" s="1">
        <v>2.04</v>
      </c>
      <c r="BE81" s="1" t="s">
        <v>0</v>
      </c>
      <c r="BF81" s="1" t="s">
        <v>1460</v>
      </c>
    </row>
    <row r="82" spans="1:58" x14ac:dyDescent="0.25">
      <c r="A82" s="1" t="s">
        <v>558</v>
      </c>
      <c r="B82" s="1" t="s">
        <v>559</v>
      </c>
      <c r="C82" s="1" t="s">
        <v>560</v>
      </c>
      <c r="D82" s="1">
        <v>2019</v>
      </c>
      <c r="E82" s="1" t="b">
        <v>0</v>
      </c>
      <c r="F82" s="1" t="s">
        <v>1381</v>
      </c>
      <c r="G82" s="1" t="s">
        <v>1380</v>
      </c>
      <c r="H82" s="1" t="s">
        <v>22</v>
      </c>
      <c r="I82" s="1" t="s">
        <v>21</v>
      </c>
      <c r="J82" s="1" t="s">
        <v>20</v>
      </c>
      <c r="K82" s="1" t="s">
        <v>561</v>
      </c>
      <c r="L82" s="1" t="s">
        <v>561</v>
      </c>
      <c r="M82" s="1" t="s">
        <v>18</v>
      </c>
      <c r="N82" s="1" t="s">
        <v>117</v>
      </c>
      <c r="O82" s="1" t="s">
        <v>42</v>
      </c>
      <c r="P82" s="1" t="s">
        <v>15</v>
      </c>
      <c r="Q82" s="1" t="s">
        <v>1526</v>
      </c>
      <c r="R82" s="1" t="s">
        <v>35</v>
      </c>
      <c r="S82" s="1" t="s">
        <v>21</v>
      </c>
      <c r="T82" s="1">
        <v>2</v>
      </c>
      <c r="U82" s="1" t="s">
        <v>112</v>
      </c>
      <c r="V82" s="1" t="s">
        <v>53</v>
      </c>
      <c r="W82" s="1" t="s">
        <v>13</v>
      </c>
      <c r="X82" s="1" t="s">
        <v>562</v>
      </c>
      <c r="Y82" s="1" t="s">
        <v>563</v>
      </c>
      <c r="Z82" s="1" t="s">
        <v>80</v>
      </c>
      <c r="AA82" s="1" t="s">
        <v>567</v>
      </c>
      <c r="AB82" s="1" t="s">
        <v>80</v>
      </c>
      <c r="AC82" s="1" t="s">
        <v>9</v>
      </c>
      <c r="AD82" s="1" t="s">
        <v>9</v>
      </c>
      <c r="AE82" s="1" t="s">
        <v>160</v>
      </c>
      <c r="AF82" s="1" t="s">
        <v>568</v>
      </c>
      <c r="AG82" s="1" t="s">
        <v>569</v>
      </c>
      <c r="AH82" s="1" t="s">
        <v>26</v>
      </c>
      <c r="AI82" s="1" t="s">
        <v>36</v>
      </c>
      <c r="AJ82" s="1" t="s">
        <v>566</v>
      </c>
      <c r="AK82" s="1"/>
      <c r="AL82" s="1"/>
      <c r="AM82" s="1"/>
      <c r="AN82" s="1"/>
      <c r="AO82" s="1"/>
      <c r="AP82" s="1"/>
      <c r="AQ82" s="1" t="s">
        <v>35</v>
      </c>
      <c r="AR82" s="1" t="s">
        <v>1</v>
      </c>
      <c r="AS82" s="1">
        <v>1.37</v>
      </c>
      <c r="AT82" s="1">
        <v>1.05</v>
      </c>
      <c r="AU82" s="1">
        <v>1.78</v>
      </c>
      <c r="AV82" s="1" t="s">
        <v>1</v>
      </c>
      <c r="AW82" s="1">
        <v>1.44</v>
      </c>
      <c r="AX82" s="1">
        <v>1.1200000000000001</v>
      </c>
      <c r="AY82" s="1">
        <v>1.86</v>
      </c>
      <c r="AZ82" s="1" t="s">
        <v>0</v>
      </c>
      <c r="BA82" s="1" t="s">
        <v>1</v>
      </c>
      <c r="BB82" s="1">
        <v>1.37</v>
      </c>
      <c r="BC82" s="1">
        <v>1.05</v>
      </c>
      <c r="BD82" s="1">
        <v>1.78</v>
      </c>
      <c r="BE82" s="1" t="s">
        <v>0</v>
      </c>
      <c r="BF82" s="1" t="s">
        <v>570</v>
      </c>
    </row>
    <row r="83" spans="1:58" x14ac:dyDescent="0.25">
      <c r="A83" s="1" t="s">
        <v>558</v>
      </c>
      <c r="B83" s="1" t="s">
        <v>559</v>
      </c>
      <c r="C83" s="1" t="s">
        <v>560</v>
      </c>
      <c r="D83" s="1">
        <v>2019</v>
      </c>
      <c r="E83" s="1" t="b">
        <v>0</v>
      </c>
      <c r="F83" s="1" t="s">
        <v>1381</v>
      </c>
      <c r="G83" s="1" t="s">
        <v>1380</v>
      </c>
      <c r="H83" s="1" t="s">
        <v>22</v>
      </c>
      <c r="I83" s="1" t="s">
        <v>21</v>
      </c>
      <c r="J83" s="1" t="s">
        <v>20</v>
      </c>
      <c r="K83" s="1" t="s">
        <v>561</v>
      </c>
      <c r="L83" s="1" t="s">
        <v>561</v>
      </c>
      <c r="M83" s="1" t="s">
        <v>18</v>
      </c>
      <c r="N83" s="1" t="s">
        <v>117</v>
      </c>
      <c r="O83" s="1" t="s">
        <v>42</v>
      </c>
      <c r="P83" s="1" t="s">
        <v>15</v>
      </c>
      <c r="Q83" s="1" t="s">
        <v>1526</v>
      </c>
      <c r="R83" s="1" t="s">
        <v>2</v>
      </c>
      <c r="S83" s="1" t="s">
        <v>21</v>
      </c>
      <c r="T83" s="1">
        <v>1</v>
      </c>
      <c r="U83" s="1" t="s">
        <v>112</v>
      </c>
      <c r="V83" s="1" t="s">
        <v>53</v>
      </c>
      <c r="W83" s="1" t="s">
        <v>13</v>
      </c>
      <c r="X83" s="1" t="s">
        <v>562</v>
      </c>
      <c r="Y83" s="1" t="s">
        <v>563</v>
      </c>
      <c r="Z83" s="1" t="s">
        <v>11</v>
      </c>
      <c r="AA83" s="1" t="s">
        <v>997</v>
      </c>
      <c r="AB83" s="1" t="s">
        <v>997</v>
      </c>
      <c r="AC83" s="1" t="s">
        <v>41</v>
      </c>
      <c r="AD83" s="1" t="s">
        <v>53</v>
      </c>
      <c r="AE83" s="1" t="s">
        <v>8</v>
      </c>
      <c r="AF83" s="1" t="s">
        <v>564</v>
      </c>
      <c r="AG83" s="1" t="s">
        <v>565</v>
      </c>
      <c r="AH83" s="1" t="s">
        <v>26</v>
      </c>
      <c r="AI83" s="1" t="s">
        <v>36</v>
      </c>
      <c r="AJ83" s="1" t="s">
        <v>566</v>
      </c>
      <c r="AK83" s="1"/>
      <c r="AL83" s="1"/>
      <c r="AM83" s="1"/>
      <c r="AN83" s="1"/>
      <c r="AO83" s="1"/>
      <c r="AP83" s="1"/>
      <c r="AQ83" s="1" t="s">
        <v>2</v>
      </c>
      <c r="AR83" s="1" t="s">
        <v>1</v>
      </c>
      <c r="AS83" s="1">
        <v>1.2</v>
      </c>
      <c r="AT83" s="1">
        <v>0.86</v>
      </c>
      <c r="AU83" s="1">
        <v>1.68</v>
      </c>
      <c r="AV83" s="1" t="s">
        <v>1</v>
      </c>
      <c r="AW83" s="1">
        <v>1.2</v>
      </c>
      <c r="AX83" s="1">
        <v>0.86</v>
      </c>
      <c r="AY83" s="1">
        <v>1.68</v>
      </c>
      <c r="AZ83" s="1" t="s">
        <v>0</v>
      </c>
      <c r="BA83" s="1" t="s">
        <v>0</v>
      </c>
      <c r="BB83" s="1"/>
      <c r="BC83" s="1"/>
      <c r="BD83" s="1"/>
      <c r="BE83" s="1" t="s">
        <v>0</v>
      </c>
      <c r="BF83" s="1" t="s">
        <v>0</v>
      </c>
    </row>
    <row r="84" spans="1:58" x14ac:dyDescent="0.25">
      <c r="A84" s="1" t="s">
        <v>571</v>
      </c>
      <c r="B84" s="1" t="s">
        <v>572</v>
      </c>
      <c r="C84" s="1" t="s">
        <v>573</v>
      </c>
      <c r="D84" s="1">
        <v>2017</v>
      </c>
      <c r="E84" s="1" t="b">
        <v>0</v>
      </c>
      <c r="F84" s="1" t="s">
        <v>1380</v>
      </c>
      <c r="G84" s="1" t="s">
        <v>1380</v>
      </c>
      <c r="H84" s="1" t="s">
        <v>22</v>
      </c>
      <c r="I84" s="1" t="s">
        <v>21</v>
      </c>
      <c r="J84" s="1" t="s">
        <v>20</v>
      </c>
      <c r="K84" s="1">
        <v>942</v>
      </c>
      <c r="L84" s="1" t="s">
        <v>574</v>
      </c>
      <c r="M84" s="1" t="s">
        <v>18</v>
      </c>
      <c r="N84" s="1" t="s">
        <v>17</v>
      </c>
      <c r="O84" s="1" t="s">
        <v>16</v>
      </c>
      <c r="P84" s="1" t="s">
        <v>15</v>
      </c>
      <c r="Q84" s="1" t="s">
        <v>1526</v>
      </c>
      <c r="R84" s="1" t="s">
        <v>2</v>
      </c>
      <c r="S84" s="1" t="s">
        <v>21</v>
      </c>
      <c r="T84" s="1">
        <v>1</v>
      </c>
      <c r="U84" s="1" t="s">
        <v>112</v>
      </c>
      <c r="V84" s="1" t="s">
        <v>53</v>
      </c>
      <c r="W84" s="1" t="s">
        <v>13</v>
      </c>
      <c r="X84" s="1" t="s">
        <v>575</v>
      </c>
      <c r="Y84" s="1" t="s">
        <v>576</v>
      </c>
      <c r="Z84" s="1" t="s">
        <v>39</v>
      </c>
      <c r="AA84" s="1" t="s">
        <v>585</v>
      </c>
      <c r="AB84" s="1" t="s">
        <v>585</v>
      </c>
      <c r="AC84" s="1" t="s">
        <v>9</v>
      </c>
      <c r="AD84" s="1" t="s">
        <v>9</v>
      </c>
      <c r="AE84" s="1" t="s">
        <v>8</v>
      </c>
      <c r="AF84" s="1" t="s">
        <v>586</v>
      </c>
      <c r="AG84" s="1" t="s">
        <v>587</v>
      </c>
      <c r="AH84" s="1" t="s">
        <v>26</v>
      </c>
      <c r="AI84" s="1" t="s">
        <v>36</v>
      </c>
      <c r="AJ84" s="1" t="s">
        <v>581</v>
      </c>
      <c r="AK84" s="1"/>
      <c r="AL84" s="1"/>
      <c r="AM84" s="1"/>
      <c r="AN84" s="1"/>
      <c r="AO84" s="1"/>
      <c r="AP84" s="1"/>
      <c r="AQ84" s="1" t="s">
        <v>2</v>
      </c>
      <c r="AR84" s="1" t="s">
        <v>1</v>
      </c>
      <c r="AS84" s="1">
        <v>1.335937873357228</v>
      </c>
      <c r="AT84" s="1">
        <v>1.02</v>
      </c>
      <c r="AU84" s="1">
        <v>1.75</v>
      </c>
      <c r="AV84" s="1" t="s">
        <v>1</v>
      </c>
      <c r="AW84" s="1">
        <v>1.335937873357228</v>
      </c>
      <c r="AX84" s="1">
        <v>1.02</v>
      </c>
      <c r="AY84" s="1">
        <v>1.75</v>
      </c>
      <c r="AZ84" s="1">
        <v>3.6999999999999998E-2</v>
      </c>
      <c r="BA84" s="1" t="s">
        <v>0</v>
      </c>
      <c r="BB84" s="1"/>
      <c r="BC84" s="1"/>
      <c r="BD84" s="1"/>
      <c r="BE84" s="1" t="s">
        <v>0</v>
      </c>
      <c r="BF84" s="1" t="s">
        <v>0</v>
      </c>
    </row>
    <row r="85" spans="1:58" x14ac:dyDescent="0.25">
      <c r="A85" s="1" t="s">
        <v>571</v>
      </c>
      <c r="B85" s="1" t="s">
        <v>572</v>
      </c>
      <c r="C85" s="1" t="s">
        <v>573</v>
      </c>
      <c r="D85" s="1">
        <v>2017</v>
      </c>
      <c r="E85" s="1" t="b">
        <v>0</v>
      </c>
      <c r="F85" s="1" t="s">
        <v>1380</v>
      </c>
      <c r="G85" s="1" t="s">
        <v>1380</v>
      </c>
      <c r="H85" s="1" t="s">
        <v>22</v>
      </c>
      <c r="I85" s="1" t="s">
        <v>21</v>
      </c>
      <c r="J85" s="1" t="s">
        <v>20</v>
      </c>
      <c r="K85" s="1">
        <v>942</v>
      </c>
      <c r="L85" s="1" t="s">
        <v>574</v>
      </c>
      <c r="M85" s="1" t="s">
        <v>18</v>
      </c>
      <c r="N85" s="1" t="s">
        <v>17</v>
      </c>
      <c r="O85" s="1" t="s">
        <v>16</v>
      </c>
      <c r="P85" s="1" t="s">
        <v>15</v>
      </c>
      <c r="Q85" s="1" t="s">
        <v>1526</v>
      </c>
      <c r="R85" s="1" t="s">
        <v>2</v>
      </c>
      <c r="S85" s="1" t="s">
        <v>21</v>
      </c>
      <c r="T85" s="1">
        <v>1</v>
      </c>
      <c r="U85" s="1" t="s">
        <v>112</v>
      </c>
      <c r="V85" s="1" t="s">
        <v>53</v>
      </c>
      <c r="W85" s="1" t="s">
        <v>13</v>
      </c>
      <c r="X85" s="1" t="s">
        <v>575</v>
      </c>
      <c r="Y85" s="1" t="s">
        <v>576</v>
      </c>
      <c r="Z85" s="1" t="s">
        <v>11</v>
      </c>
      <c r="AA85" s="1" t="s">
        <v>577</v>
      </c>
      <c r="AB85" s="1" t="s">
        <v>578</v>
      </c>
      <c r="AC85" s="1" t="s">
        <v>112</v>
      </c>
      <c r="AD85" s="1" t="s">
        <v>53</v>
      </c>
      <c r="AE85" s="1" t="s">
        <v>63</v>
      </c>
      <c r="AF85" s="1" t="s">
        <v>579</v>
      </c>
      <c r="AG85" s="1" t="s">
        <v>580</v>
      </c>
      <c r="AH85" s="1" t="s">
        <v>6</v>
      </c>
      <c r="AI85" s="1" t="s">
        <v>36</v>
      </c>
      <c r="AJ85" s="1" t="s">
        <v>581</v>
      </c>
      <c r="AK85" s="1"/>
      <c r="AL85" s="1"/>
      <c r="AM85" s="1"/>
      <c r="AN85" s="1"/>
      <c r="AO85" s="1"/>
      <c r="AP85" s="1"/>
      <c r="AQ85" s="1" t="s">
        <v>2</v>
      </c>
      <c r="AR85" s="1" t="s">
        <v>1</v>
      </c>
      <c r="AS85" s="1">
        <v>1.0329495614035089</v>
      </c>
      <c r="AT85" s="1">
        <v>0.76</v>
      </c>
      <c r="AU85" s="1">
        <v>1.41</v>
      </c>
      <c r="AV85" s="1" t="s">
        <v>1</v>
      </c>
      <c r="AW85" s="1">
        <v>1.0329495614035089</v>
      </c>
      <c r="AX85" s="1">
        <v>0.76</v>
      </c>
      <c r="AY85" s="1">
        <v>1.41</v>
      </c>
      <c r="AZ85" s="1" t="s">
        <v>582</v>
      </c>
      <c r="BA85" s="1" t="s">
        <v>0</v>
      </c>
      <c r="BB85" s="1"/>
      <c r="BC85" s="1"/>
      <c r="BD85" s="1"/>
      <c r="BE85" s="1" t="s">
        <v>0</v>
      </c>
      <c r="BF85" s="1" t="s">
        <v>0</v>
      </c>
    </row>
    <row r="86" spans="1:58" x14ac:dyDescent="0.25">
      <c r="A86" s="1" t="s">
        <v>571</v>
      </c>
      <c r="B86" s="1" t="s">
        <v>572</v>
      </c>
      <c r="C86" s="1" t="s">
        <v>573</v>
      </c>
      <c r="D86" s="1">
        <v>2017</v>
      </c>
      <c r="E86" s="1" t="b">
        <v>0</v>
      </c>
      <c r="F86" s="1" t="s">
        <v>1380</v>
      </c>
      <c r="G86" s="1" t="s">
        <v>1380</v>
      </c>
      <c r="H86" s="1" t="s">
        <v>22</v>
      </c>
      <c r="I86" s="1" t="s">
        <v>21</v>
      </c>
      <c r="J86" s="1" t="s">
        <v>20</v>
      </c>
      <c r="K86" s="1">
        <v>942</v>
      </c>
      <c r="L86" s="1" t="s">
        <v>574</v>
      </c>
      <c r="M86" s="1" t="s">
        <v>18</v>
      </c>
      <c r="N86" s="1" t="s">
        <v>17</v>
      </c>
      <c r="O86" s="1" t="s">
        <v>16</v>
      </c>
      <c r="P86" s="1" t="s">
        <v>15</v>
      </c>
      <c r="Q86" s="1" t="s">
        <v>1526</v>
      </c>
      <c r="R86" s="1" t="s">
        <v>2</v>
      </c>
      <c r="S86" s="1" t="s">
        <v>21</v>
      </c>
      <c r="T86" s="1">
        <v>1</v>
      </c>
      <c r="U86" s="1" t="s">
        <v>112</v>
      </c>
      <c r="V86" s="1" t="s">
        <v>53</v>
      </c>
      <c r="W86" s="1" t="s">
        <v>13</v>
      </c>
      <c r="X86" s="1" t="s">
        <v>575</v>
      </c>
      <c r="Y86" s="1" t="s">
        <v>576</v>
      </c>
      <c r="Z86" s="1" t="s">
        <v>11</v>
      </c>
      <c r="AA86" s="1" t="s">
        <v>578</v>
      </c>
      <c r="AB86" s="1" t="s">
        <v>578</v>
      </c>
      <c r="AC86" s="1" t="s">
        <v>112</v>
      </c>
      <c r="AD86" s="1" t="s">
        <v>53</v>
      </c>
      <c r="AE86" s="1" t="s">
        <v>8</v>
      </c>
      <c r="AF86" s="1" t="s">
        <v>583</v>
      </c>
      <c r="AG86" s="1" t="s">
        <v>584</v>
      </c>
      <c r="AH86" s="1" t="s">
        <v>26</v>
      </c>
      <c r="AI86" s="1" t="s">
        <v>36</v>
      </c>
      <c r="AJ86" s="1" t="s">
        <v>581</v>
      </c>
      <c r="AK86" s="1"/>
      <c r="AL86" s="1"/>
      <c r="AM86" s="1"/>
      <c r="AN86" s="1"/>
      <c r="AO86" s="1"/>
      <c r="AP86" s="1"/>
      <c r="AQ86" s="1" t="s">
        <v>2</v>
      </c>
      <c r="AR86" s="1" t="s">
        <v>1</v>
      </c>
      <c r="AS86" s="1">
        <v>1.098136312631117</v>
      </c>
      <c r="AT86" s="1">
        <v>0.82</v>
      </c>
      <c r="AU86" s="1">
        <v>1.46</v>
      </c>
      <c r="AV86" s="1" t="s">
        <v>1</v>
      </c>
      <c r="AW86" s="1">
        <v>1.098136312631117</v>
      </c>
      <c r="AX86" s="1">
        <v>0.82</v>
      </c>
      <c r="AY86" s="1">
        <v>1.46</v>
      </c>
      <c r="AZ86" s="1" t="s">
        <v>172</v>
      </c>
      <c r="BA86" s="1" t="s">
        <v>0</v>
      </c>
      <c r="BB86" s="1"/>
      <c r="BC86" s="1"/>
      <c r="BD86" s="1"/>
      <c r="BE86" s="1" t="s">
        <v>0</v>
      </c>
      <c r="BF86" s="1" t="s">
        <v>0</v>
      </c>
    </row>
    <row r="87" spans="1:58" x14ac:dyDescent="0.25">
      <c r="A87" s="1" t="s">
        <v>588</v>
      </c>
      <c r="B87" s="1" t="s">
        <v>589</v>
      </c>
      <c r="C87" s="1" t="s">
        <v>590</v>
      </c>
      <c r="D87" s="1">
        <v>2017</v>
      </c>
      <c r="E87" s="1" t="b">
        <v>0</v>
      </c>
      <c r="F87" s="1" t="s">
        <v>1380</v>
      </c>
      <c r="G87" s="1" t="s">
        <v>1380</v>
      </c>
      <c r="H87" s="1" t="s">
        <v>22</v>
      </c>
      <c r="I87" s="1" t="s">
        <v>21</v>
      </c>
      <c r="J87" s="1" t="s">
        <v>20</v>
      </c>
      <c r="K87" s="1" t="s">
        <v>591</v>
      </c>
      <c r="L87" s="1" t="s">
        <v>591</v>
      </c>
      <c r="M87" s="1" t="s">
        <v>260</v>
      </c>
      <c r="N87" s="1" t="s">
        <v>592</v>
      </c>
      <c r="O87" s="1" t="s">
        <v>42</v>
      </c>
      <c r="P87" s="1" t="s">
        <v>68</v>
      </c>
      <c r="Q87" s="1" t="s">
        <v>1526</v>
      </c>
      <c r="R87" s="1" t="s">
        <v>35</v>
      </c>
      <c r="S87" s="1" t="s">
        <v>21</v>
      </c>
      <c r="T87" s="1">
        <v>2</v>
      </c>
      <c r="U87" s="1" t="s">
        <v>14</v>
      </c>
      <c r="V87" s="1" t="s">
        <v>53</v>
      </c>
      <c r="W87" s="1" t="s">
        <v>13</v>
      </c>
      <c r="X87" s="1" t="s">
        <v>593</v>
      </c>
      <c r="Y87" s="1">
        <v>5.6180000000000001E-2</v>
      </c>
      <c r="Z87" s="1" t="s">
        <v>39</v>
      </c>
      <c r="AA87" s="1" t="s">
        <v>594</v>
      </c>
      <c r="AB87" s="1" t="s">
        <v>595</v>
      </c>
      <c r="AC87" s="1" t="s">
        <v>9</v>
      </c>
      <c r="AD87" s="1" t="s">
        <v>9</v>
      </c>
      <c r="AE87" s="1" t="s">
        <v>8</v>
      </c>
      <c r="AF87" s="1" t="s">
        <v>0</v>
      </c>
      <c r="AG87" s="1" t="s">
        <v>0</v>
      </c>
      <c r="AH87" s="1" t="s">
        <v>26</v>
      </c>
      <c r="AI87" s="1" t="s">
        <v>36</v>
      </c>
      <c r="AJ87" s="1" t="s">
        <v>596</v>
      </c>
      <c r="AK87" s="1"/>
      <c r="AL87" s="1"/>
      <c r="AM87" s="1"/>
      <c r="AN87" s="1"/>
      <c r="AO87" s="1"/>
      <c r="AP87" s="1"/>
      <c r="AQ87" s="1" t="s">
        <v>35</v>
      </c>
      <c r="AR87" s="1" t="s">
        <v>1</v>
      </c>
      <c r="AS87" s="1">
        <v>1.45</v>
      </c>
      <c r="AT87" s="1">
        <v>1.0900000000000001</v>
      </c>
      <c r="AU87" s="1">
        <v>1.93</v>
      </c>
      <c r="AV87" s="1" t="s">
        <v>1</v>
      </c>
      <c r="AW87" s="1">
        <v>1.91</v>
      </c>
      <c r="AX87" s="1">
        <v>1.48</v>
      </c>
      <c r="AY87" s="1">
        <v>2.4700000000000002</v>
      </c>
      <c r="AZ87" s="1" t="s">
        <v>60</v>
      </c>
      <c r="BA87" s="1" t="s">
        <v>1</v>
      </c>
      <c r="BB87" s="1">
        <v>1.45</v>
      </c>
      <c r="BC87" s="1">
        <v>1.0900000000000001</v>
      </c>
      <c r="BD87" s="1">
        <v>1.93</v>
      </c>
      <c r="BE87" s="1">
        <v>1E-3</v>
      </c>
      <c r="BF87" s="1" t="s">
        <v>1461</v>
      </c>
    </row>
    <row r="88" spans="1:58" x14ac:dyDescent="0.25">
      <c r="A88" s="1" t="s">
        <v>597</v>
      </c>
      <c r="B88" s="1" t="s">
        <v>598</v>
      </c>
      <c r="C88" s="1" t="s">
        <v>599</v>
      </c>
      <c r="D88" s="1">
        <v>2023</v>
      </c>
      <c r="E88" s="1" t="b">
        <v>0</v>
      </c>
      <c r="F88" s="1" t="s">
        <v>1381</v>
      </c>
      <c r="G88" s="1" t="s">
        <v>1380</v>
      </c>
      <c r="H88" s="1" t="s">
        <v>22</v>
      </c>
      <c r="I88" s="1" t="s">
        <v>21</v>
      </c>
      <c r="J88" s="1" t="s">
        <v>20</v>
      </c>
      <c r="K88" s="1" t="s">
        <v>600</v>
      </c>
      <c r="L88" s="1" t="s">
        <v>600</v>
      </c>
      <c r="M88" s="1" t="s">
        <v>18</v>
      </c>
      <c r="N88" s="1" t="s">
        <v>601</v>
      </c>
      <c r="O88" s="1" t="s">
        <v>42</v>
      </c>
      <c r="P88" s="1" t="s">
        <v>467</v>
      </c>
      <c r="Q88" s="1" t="s">
        <v>1526</v>
      </c>
      <c r="R88" s="1" t="s">
        <v>2</v>
      </c>
      <c r="S88" s="1" t="s">
        <v>21</v>
      </c>
      <c r="T88" s="1">
        <v>1</v>
      </c>
      <c r="U88" s="1" t="s">
        <v>41</v>
      </c>
      <c r="V88" s="1" t="s">
        <v>53</v>
      </c>
      <c r="W88" s="1" t="s">
        <v>13</v>
      </c>
      <c r="X88" s="1" t="s">
        <v>602</v>
      </c>
      <c r="Y88" s="1">
        <v>1.584E-2</v>
      </c>
      <c r="Z88" s="1" t="s">
        <v>11</v>
      </c>
      <c r="AA88" s="1" t="s">
        <v>603</v>
      </c>
      <c r="AB88" s="1" t="s">
        <v>604</v>
      </c>
      <c r="AC88" s="1" t="s">
        <v>9</v>
      </c>
      <c r="AD88" s="1" t="s">
        <v>9</v>
      </c>
      <c r="AE88" s="1" t="s">
        <v>8</v>
      </c>
      <c r="AF88" s="1" t="s">
        <v>605</v>
      </c>
      <c r="AG88" s="1" t="s">
        <v>606</v>
      </c>
      <c r="AH88" s="1" t="s">
        <v>26</v>
      </c>
      <c r="AI88" s="1" t="s">
        <v>36</v>
      </c>
      <c r="AJ88" s="1" t="s">
        <v>607</v>
      </c>
      <c r="AK88" s="1"/>
      <c r="AL88" s="1"/>
      <c r="AM88" s="1"/>
      <c r="AN88" s="1"/>
      <c r="AO88" s="1"/>
      <c r="AP88" s="1"/>
      <c r="AQ88" s="1" t="s">
        <v>2</v>
      </c>
      <c r="AR88" s="1" t="s">
        <v>1</v>
      </c>
      <c r="AS88" s="1">
        <v>1.805947034226421</v>
      </c>
      <c r="AT88" s="1">
        <v>0.8</v>
      </c>
      <c r="AU88" s="1">
        <v>4.0599999999999996</v>
      </c>
      <c r="AV88" s="1" t="s">
        <v>1</v>
      </c>
      <c r="AW88" s="1">
        <v>1.805947034226421</v>
      </c>
      <c r="AX88" s="1">
        <v>0.8</v>
      </c>
      <c r="AY88" s="1">
        <v>4.0599999999999996</v>
      </c>
      <c r="AZ88" s="1" t="s">
        <v>608</v>
      </c>
      <c r="BA88" s="1" t="s">
        <v>0</v>
      </c>
      <c r="BB88" s="1"/>
      <c r="BC88" s="1"/>
      <c r="BD88" s="1"/>
      <c r="BE88" s="1" t="s">
        <v>0</v>
      </c>
      <c r="BF88" s="1" t="s">
        <v>0</v>
      </c>
    </row>
    <row r="89" spans="1:58" x14ac:dyDescent="0.25">
      <c r="A89" s="1" t="s">
        <v>609</v>
      </c>
      <c r="B89" s="1" t="s">
        <v>610</v>
      </c>
      <c r="C89" s="1" t="s">
        <v>611</v>
      </c>
      <c r="D89" s="1">
        <v>2023</v>
      </c>
      <c r="E89" s="1" t="b">
        <v>0</v>
      </c>
      <c r="F89" s="1" t="s">
        <v>1381</v>
      </c>
      <c r="G89" s="1" t="s">
        <v>1380</v>
      </c>
      <c r="H89" s="1" t="s">
        <v>22</v>
      </c>
      <c r="I89" s="1" t="s">
        <v>21</v>
      </c>
      <c r="J89" s="1" t="s">
        <v>20</v>
      </c>
      <c r="K89" s="1" t="s">
        <v>612</v>
      </c>
      <c r="L89" s="1" t="s">
        <v>612</v>
      </c>
      <c r="M89" s="1" t="s">
        <v>260</v>
      </c>
      <c r="N89" s="1" t="s">
        <v>17</v>
      </c>
      <c r="O89" s="1" t="s">
        <v>42</v>
      </c>
      <c r="P89" s="1" t="s">
        <v>15</v>
      </c>
      <c r="Q89" s="1" t="s">
        <v>1526</v>
      </c>
      <c r="R89" s="1" t="s">
        <v>35</v>
      </c>
      <c r="S89" s="1" t="s">
        <v>21</v>
      </c>
      <c r="T89" s="1">
        <v>2</v>
      </c>
      <c r="U89" s="1" t="s">
        <v>112</v>
      </c>
      <c r="V89" s="1" t="s">
        <v>53</v>
      </c>
      <c r="W89" s="1" t="s">
        <v>13</v>
      </c>
      <c r="X89" s="1" t="s">
        <v>216</v>
      </c>
      <c r="Y89" s="1" t="s">
        <v>613</v>
      </c>
      <c r="Z89" s="1" t="s">
        <v>513</v>
      </c>
      <c r="AA89" s="1" t="s">
        <v>614</v>
      </c>
      <c r="AB89" s="1" t="s">
        <v>614</v>
      </c>
      <c r="AC89" s="1" t="s">
        <v>9</v>
      </c>
      <c r="AD89" s="1" t="s">
        <v>9</v>
      </c>
      <c r="AE89" s="1" t="s">
        <v>8</v>
      </c>
      <c r="AF89" s="1">
        <v>175</v>
      </c>
      <c r="AG89" s="1">
        <f>Table1[[#This Row],[exposed_num]]/542</f>
        <v>0.32287822878228783</v>
      </c>
      <c r="AH89" s="1" t="s">
        <v>6</v>
      </c>
      <c r="AI89" s="1" t="s">
        <v>615</v>
      </c>
      <c r="AJ89" s="1" t="s">
        <v>616</v>
      </c>
      <c r="AK89" s="1" t="s">
        <v>28</v>
      </c>
      <c r="AL89" s="1" t="s">
        <v>616</v>
      </c>
      <c r="AM89" s="1" t="s">
        <v>26</v>
      </c>
      <c r="AN89" s="1"/>
      <c r="AO89" s="1"/>
      <c r="AP89" s="1"/>
      <c r="AQ89" s="1" t="s">
        <v>35</v>
      </c>
      <c r="AR89" s="1" t="s">
        <v>1</v>
      </c>
      <c r="AS89" s="1">
        <v>0.21</v>
      </c>
      <c r="AT89" s="1">
        <v>0.02</v>
      </c>
      <c r="AU89" s="1">
        <v>2.2200000000000002</v>
      </c>
      <c r="AV89" s="1" t="s">
        <v>1</v>
      </c>
      <c r="AW89" s="1">
        <v>0.26</v>
      </c>
      <c r="AX89" s="1">
        <v>0.03</v>
      </c>
      <c r="AY89" s="1">
        <v>2.52</v>
      </c>
      <c r="AZ89" s="1" t="s">
        <v>0</v>
      </c>
      <c r="BA89" s="1" t="s">
        <v>1</v>
      </c>
      <c r="BB89" s="1">
        <v>0.21</v>
      </c>
      <c r="BC89" s="1">
        <v>0.02</v>
      </c>
      <c r="BD89" s="1">
        <v>2.2200000000000002</v>
      </c>
      <c r="BE89" s="1" t="s">
        <v>0</v>
      </c>
      <c r="BF89" s="1" t="s">
        <v>617</v>
      </c>
    </row>
    <row r="90" spans="1:58" x14ac:dyDescent="0.25">
      <c r="A90" s="1" t="s">
        <v>609</v>
      </c>
      <c r="B90" s="1" t="s">
        <v>610</v>
      </c>
      <c r="C90" s="1" t="s">
        <v>611</v>
      </c>
      <c r="D90" s="1">
        <v>2023</v>
      </c>
      <c r="E90" s="1" t="b">
        <v>0</v>
      </c>
      <c r="F90" s="1" t="s">
        <v>1381</v>
      </c>
      <c r="G90" s="1" t="s">
        <v>1380</v>
      </c>
      <c r="H90" s="1" t="s">
        <v>22</v>
      </c>
      <c r="I90" s="1" t="s">
        <v>21</v>
      </c>
      <c r="J90" s="1" t="s">
        <v>20</v>
      </c>
      <c r="K90" s="1" t="s">
        <v>612</v>
      </c>
      <c r="L90" s="1" t="s">
        <v>612</v>
      </c>
      <c r="M90" s="1" t="s">
        <v>260</v>
      </c>
      <c r="N90" s="1" t="s">
        <v>17</v>
      </c>
      <c r="O90" s="1" t="s">
        <v>42</v>
      </c>
      <c r="P90" s="1" t="s">
        <v>15</v>
      </c>
      <c r="Q90" s="1" t="s">
        <v>1526</v>
      </c>
      <c r="R90" s="1" t="s">
        <v>35</v>
      </c>
      <c r="S90" s="1" t="s">
        <v>21</v>
      </c>
      <c r="T90" s="1">
        <v>2</v>
      </c>
      <c r="U90" s="1" t="s">
        <v>112</v>
      </c>
      <c r="V90" s="1" t="s">
        <v>53</v>
      </c>
      <c r="W90" s="1" t="s">
        <v>13</v>
      </c>
      <c r="X90" s="1" t="s">
        <v>216</v>
      </c>
      <c r="Y90" s="1" t="s">
        <v>613</v>
      </c>
      <c r="Z90" s="1" t="s">
        <v>513</v>
      </c>
      <c r="AA90" s="1" t="s">
        <v>618</v>
      </c>
      <c r="AB90" s="1" t="s">
        <v>618</v>
      </c>
      <c r="AC90" s="1" t="s">
        <v>9</v>
      </c>
      <c r="AD90" s="1" t="s">
        <v>9</v>
      </c>
      <c r="AE90" s="1" t="s">
        <v>8</v>
      </c>
      <c r="AF90" s="1">
        <v>178</v>
      </c>
      <c r="AG90" s="1">
        <f>Table1[[#This Row],[exposed_num]]/542</f>
        <v>0.32841328413284132</v>
      </c>
      <c r="AH90" s="1" t="s">
        <v>26</v>
      </c>
      <c r="AI90" s="1" t="s">
        <v>615</v>
      </c>
      <c r="AJ90" s="1" t="s">
        <v>616</v>
      </c>
      <c r="AK90" s="1" t="s">
        <v>28</v>
      </c>
      <c r="AL90" s="1" t="s">
        <v>616</v>
      </c>
      <c r="AM90" s="1" t="s">
        <v>26</v>
      </c>
      <c r="AN90" s="1"/>
      <c r="AO90" s="1"/>
      <c r="AP90" s="1"/>
      <c r="AQ90" s="1" t="s">
        <v>35</v>
      </c>
      <c r="AR90" s="1" t="s">
        <v>1</v>
      </c>
      <c r="AS90" s="1">
        <v>0.44</v>
      </c>
      <c r="AT90" s="1">
        <v>0.03</v>
      </c>
      <c r="AU90" s="1">
        <v>5.78</v>
      </c>
      <c r="AV90" s="1" t="s">
        <v>1</v>
      </c>
      <c r="AW90" s="1">
        <v>0.37</v>
      </c>
      <c r="AX90" s="1">
        <v>0.03</v>
      </c>
      <c r="AY90" s="1">
        <v>4.2</v>
      </c>
      <c r="AZ90" s="1" t="s">
        <v>0</v>
      </c>
      <c r="BA90" s="1" t="s">
        <v>1</v>
      </c>
      <c r="BB90" s="1">
        <v>0.44</v>
      </c>
      <c r="BC90" s="1">
        <v>0.03</v>
      </c>
      <c r="BD90" s="1">
        <v>5.78</v>
      </c>
      <c r="BE90" s="1" t="s">
        <v>0</v>
      </c>
      <c r="BF90" s="1" t="s">
        <v>617</v>
      </c>
    </row>
    <row r="91" spans="1:58" x14ac:dyDescent="0.25">
      <c r="A91" s="1" t="s">
        <v>609</v>
      </c>
      <c r="B91" s="1" t="s">
        <v>610</v>
      </c>
      <c r="C91" s="1" t="s">
        <v>611</v>
      </c>
      <c r="D91" s="1">
        <v>2023</v>
      </c>
      <c r="E91" s="1" t="b">
        <v>0</v>
      </c>
      <c r="F91" s="1" t="s">
        <v>1381</v>
      </c>
      <c r="G91" s="1" t="s">
        <v>1380</v>
      </c>
      <c r="H91" s="1" t="s">
        <v>22</v>
      </c>
      <c r="I91" s="1" t="s">
        <v>21</v>
      </c>
      <c r="J91" s="1" t="s">
        <v>20</v>
      </c>
      <c r="K91" s="1" t="s">
        <v>612</v>
      </c>
      <c r="L91" s="1">
        <v>350</v>
      </c>
      <c r="M91" s="1" t="s">
        <v>260</v>
      </c>
      <c r="N91" s="1" t="s">
        <v>17</v>
      </c>
      <c r="O91" s="1" t="s">
        <v>42</v>
      </c>
      <c r="P91" s="1" t="s">
        <v>15</v>
      </c>
      <c r="Q91" s="1" t="s">
        <v>1526</v>
      </c>
      <c r="R91" s="1" t="s">
        <v>35</v>
      </c>
      <c r="S91" s="1" t="s">
        <v>21</v>
      </c>
      <c r="T91" s="1">
        <v>2</v>
      </c>
      <c r="U91" s="1" t="s">
        <v>112</v>
      </c>
      <c r="V91" s="1" t="s">
        <v>53</v>
      </c>
      <c r="W91" s="1" t="s">
        <v>13</v>
      </c>
      <c r="X91" s="1" t="s">
        <v>216</v>
      </c>
      <c r="Y91" s="1" t="s">
        <v>613</v>
      </c>
      <c r="Z91" s="1" t="s">
        <v>513</v>
      </c>
      <c r="AA91" s="1" t="s">
        <v>614</v>
      </c>
      <c r="AB91" s="1" t="s">
        <v>614</v>
      </c>
      <c r="AC91" s="1" t="s">
        <v>9</v>
      </c>
      <c r="AD91" s="1" t="s">
        <v>9</v>
      </c>
      <c r="AE91" s="1" t="s">
        <v>8</v>
      </c>
      <c r="AF91" s="1">
        <v>175</v>
      </c>
      <c r="AG91" s="1">
        <f>Table1[[#This Row],[exposed_num]]/542</f>
        <v>0.32287822878228783</v>
      </c>
      <c r="AH91" s="1" t="s">
        <v>6</v>
      </c>
      <c r="AI91" s="1" t="s">
        <v>56</v>
      </c>
      <c r="AJ91" s="1" t="s">
        <v>109</v>
      </c>
      <c r="AK91" s="1"/>
      <c r="AL91" s="1"/>
      <c r="AM91" s="1"/>
      <c r="AN91" s="1"/>
      <c r="AO91" s="1" t="s">
        <v>108</v>
      </c>
      <c r="AP91" s="1" t="s">
        <v>53</v>
      </c>
      <c r="AQ91" s="1" t="s">
        <v>35</v>
      </c>
      <c r="AR91" s="1" t="s">
        <v>1</v>
      </c>
      <c r="AS91" s="1">
        <v>1.29</v>
      </c>
      <c r="AT91" s="1">
        <v>0.57999999999999996</v>
      </c>
      <c r="AU91" s="1">
        <v>2.9</v>
      </c>
      <c r="AV91" s="1" t="s">
        <v>1</v>
      </c>
      <c r="AW91" s="1">
        <v>1.34</v>
      </c>
      <c r="AX91" s="1">
        <v>0.61</v>
      </c>
      <c r="AY91" s="1">
        <v>2.93</v>
      </c>
      <c r="AZ91" s="1" t="s">
        <v>0</v>
      </c>
      <c r="BA91" s="1" t="s">
        <v>1</v>
      </c>
      <c r="BB91" s="1">
        <v>1.29</v>
      </c>
      <c r="BC91" s="1">
        <v>0.57999999999999996</v>
      </c>
      <c r="BD91" s="1">
        <v>2.9</v>
      </c>
      <c r="BE91" s="1" t="s">
        <v>0</v>
      </c>
      <c r="BF91" s="1" t="s">
        <v>617</v>
      </c>
    </row>
    <row r="92" spans="1:58" x14ac:dyDescent="0.25">
      <c r="A92" s="1" t="s">
        <v>609</v>
      </c>
      <c r="B92" s="1" t="s">
        <v>610</v>
      </c>
      <c r="C92" s="1" t="s">
        <v>611</v>
      </c>
      <c r="D92" s="1">
        <v>2023</v>
      </c>
      <c r="E92" s="1" t="b">
        <v>0</v>
      </c>
      <c r="F92" s="1" t="s">
        <v>1381</v>
      </c>
      <c r="G92" s="1" t="s">
        <v>1380</v>
      </c>
      <c r="H92" s="1" t="s">
        <v>22</v>
      </c>
      <c r="I92" s="1" t="s">
        <v>21</v>
      </c>
      <c r="J92" s="1" t="s">
        <v>20</v>
      </c>
      <c r="K92" s="1" t="s">
        <v>612</v>
      </c>
      <c r="L92" s="1">
        <v>350</v>
      </c>
      <c r="M92" s="1" t="s">
        <v>260</v>
      </c>
      <c r="N92" s="1" t="s">
        <v>17</v>
      </c>
      <c r="O92" s="1" t="s">
        <v>42</v>
      </c>
      <c r="P92" s="1" t="s">
        <v>15</v>
      </c>
      <c r="Q92" s="1" t="s">
        <v>1526</v>
      </c>
      <c r="R92" s="1" t="s">
        <v>35</v>
      </c>
      <c r="S92" s="1" t="s">
        <v>21</v>
      </c>
      <c r="T92" s="1">
        <v>2</v>
      </c>
      <c r="U92" s="1" t="s">
        <v>112</v>
      </c>
      <c r="V92" s="1" t="s">
        <v>53</v>
      </c>
      <c r="W92" s="1" t="s">
        <v>13</v>
      </c>
      <c r="X92" s="1" t="s">
        <v>216</v>
      </c>
      <c r="Y92" s="1" t="s">
        <v>613</v>
      </c>
      <c r="Z92" s="1" t="s">
        <v>513</v>
      </c>
      <c r="AA92" s="1" t="s">
        <v>618</v>
      </c>
      <c r="AB92" s="1" t="s">
        <v>618</v>
      </c>
      <c r="AC92" s="1" t="s">
        <v>9</v>
      </c>
      <c r="AD92" s="1" t="s">
        <v>9</v>
      </c>
      <c r="AE92" s="1" t="s">
        <v>8</v>
      </c>
      <c r="AF92" s="1">
        <v>178</v>
      </c>
      <c r="AG92" s="1">
        <f>Table1[[#This Row],[exposed_num]]/542</f>
        <v>0.32841328413284132</v>
      </c>
      <c r="AH92" s="1" t="s">
        <v>6</v>
      </c>
      <c r="AI92" s="1" t="s">
        <v>56</v>
      </c>
      <c r="AJ92" s="1" t="s">
        <v>109</v>
      </c>
      <c r="AK92" s="1"/>
      <c r="AL92" s="1"/>
      <c r="AM92" s="1"/>
      <c r="AN92" s="1"/>
      <c r="AO92" s="1" t="s">
        <v>108</v>
      </c>
      <c r="AP92" s="1" t="s">
        <v>53</v>
      </c>
      <c r="AQ92" s="1" t="s">
        <v>35</v>
      </c>
      <c r="AR92" s="1" t="s">
        <v>1</v>
      </c>
      <c r="AS92" s="1">
        <v>1.74</v>
      </c>
      <c r="AT92" s="1">
        <v>0.76</v>
      </c>
      <c r="AU92" s="1">
        <v>4.01</v>
      </c>
      <c r="AV92" s="1" t="s">
        <v>1</v>
      </c>
      <c r="AW92" s="1">
        <v>1.66</v>
      </c>
      <c r="AX92" s="1">
        <v>0.73</v>
      </c>
      <c r="AY92" s="1">
        <v>3.75</v>
      </c>
      <c r="AZ92" s="1" t="s">
        <v>0</v>
      </c>
      <c r="BA92" s="1" t="s">
        <v>1</v>
      </c>
      <c r="BB92" s="1">
        <v>1.74</v>
      </c>
      <c r="BC92" s="1">
        <v>0.76</v>
      </c>
      <c r="BD92" s="1">
        <v>4.01</v>
      </c>
      <c r="BE92" s="1" t="s">
        <v>0</v>
      </c>
      <c r="BF92" s="1" t="s">
        <v>617</v>
      </c>
    </row>
    <row r="93" spans="1:58" x14ac:dyDescent="0.25">
      <c r="A93" s="1" t="s">
        <v>1531</v>
      </c>
      <c r="B93" s="1" t="s">
        <v>1532</v>
      </c>
      <c r="C93" s="1" t="s">
        <v>1533</v>
      </c>
      <c r="D93" s="1">
        <v>2025</v>
      </c>
      <c r="E93" s="1" t="b">
        <v>0</v>
      </c>
      <c r="F93" s="1" t="s">
        <v>1381</v>
      </c>
      <c r="G93" s="1" t="s">
        <v>1380</v>
      </c>
      <c r="H93" s="1" t="s">
        <v>22</v>
      </c>
      <c r="I93" s="1" t="s">
        <v>21</v>
      </c>
      <c r="J93" s="1" t="s">
        <v>20</v>
      </c>
      <c r="K93" s="1">
        <v>4530</v>
      </c>
      <c r="L93" s="1">
        <v>4098</v>
      </c>
      <c r="M93" s="1" t="s">
        <v>18</v>
      </c>
      <c r="N93" s="1" t="s">
        <v>1534</v>
      </c>
      <c r="O93" s="1" t="s">
        <v>42</v>
      </c>
      <c r="P93" s="1" t="s">
        <v>467</v>
      </c>
      <c r="Q93" s="1" t="s">
        <v>1526</v>
      </c>
      <c r="R93" s="1" t="s">
        <v>35</v>
      </c>
      <c r="S93" s="1" t="s">
        <v>21</v>
      </c>
      <c r="T93" s="1">
        <v>2</v>
      </c>
      <c r="U93" s="1" t="s">
        <v>14</v>
      </c>
      <c r="V93" s="1" t="s">
        <v>53</v>
      </c>
      <c r="W93" s="1">
        <v>1</v>
      </c>
      <c r="X93" s="1">
        <v>78</v>
      </c>
      <c r="Y93" s="1">
        <f>78/4451</f>
        <v>1.7524151875982927E-2</v>
      </c>
      <c r="Z93" s="1" t="s">
        <v>39</v>
      </c>
      <c r="AA93" s="1" t="s">
        <v>1543</v>
      </c>
      <c r="AB93" s="1" t="s">
        <v>1544</v>
      </c>
      <c r="AC93" s="1" t="s">
        <v>9</v>
      </c>
      <c r="AD93" s="1" t="s">
        <v>9</v>
      </c>
      <c r="AE93" s="1" t="s">
        <v>8</v>
      </c>
      <c r="AF93" s="1" t="s">
        <v>0</v>
      </c>
      <c r="AG93" s="1" t="s">
        <v>0</v>
      </c>
      <c r="AH93" s="1" t="s">
        <v>26</v>
      </c>
      <c r="AI93" s="1" t="s">
        <v>56</v>
      </c>
      <c r="AJ93" s="1" t="s">
        <v>55</v>
      </c>
      <c r="AK93" s="1"/>
      <c r="AL93" s="1"/>
      <c r="AM93" s="1"/>
      <c r="AN93" s="1"/>
      <c r="AO93" s="1" t="s">
        <v>54</v>
      </c>
      <c r="AP93" s="1" t="s">
        <v>53</v>
      </c>
      <c r="AQ93" s="1" t="s">
        <v>35</v>
      </c>
      <c r="AR93" s="1" t="s">
        <v>1</v>
      </c>
      <c r="AS93" s="1">
        <f>EXP(0.3285)</f>
        <v>1.3888832403281028</v>
      </c>
      <c r="AT93" s="18">
        <f>EXP(0.122855716627776)</f>
        <v>1.1307212649002749</v>
      </c>
      <c r="AU93" s="18">
        <f>EXP(0.878365720066153)</f>
        <v>2.406962839252238</v>
      </c>
      <c r="AV93" s="1" t="s">
        <v>0</v>
      </c>
      <c r="AW93" s="1"/>
      <c r="AX93" s="1"/>
      <c r="AY93" s="1"/>
      <c r="AZ93" s="1" t="s">
        <v>0</v>
      </c>
      <c r="BA93" s="1" t="s">
        <v>1</v>
      </c>
      <c r="BB93" s="1">
        <f>EXP(0.3285)</f>
        <v>1.3888832403281028</v>
      </c>
      <c r="BC93" s="18">
        <f>EXP(0.122855716627776)</f>
        <v>1.1307212649002749</v>
      </c>
      <c r="BD93" s="18">
        <f>EXP(0.878365720066153)</f>
        <v>2.406962839252238</v>
      </c>
      <c r="BE93" s="1">
        <v>2.63E-2</v>
      </c>
      <c r="BF93" s="1" t="s">
        <v>1549</v>
      </c>
    </row>
    <row r="94" spans="1:58" x14ac:dyDescent="0.25">
      <c r="A94" s="1" t="s">
        <v>1531</v>
      </c>
      <c r="B94" s="1" t="s">
        <v>1532</v>
      </c>
      <c r="C94" s="1" t="s">
        <v>1533</v>
      </c>
      <c r="D94" s="1">
        <v>2025</v>
      </c>
      <c r="E94" s="1" t="b">
        <v>0</v>
      </c>
      <c r="F94" s="1" t="s">
        <v>1381</v>
      </c>
      <c r="G94" s="1" t="s">
        <v>1380</v>
      </c>
      <c r="H94" s="1" t="s">
        <v>22</v>
      </c>
      <c r="I94" s="1" t="s">
        <v>21</v>
      </c>
      <c r="J94" s="1" t="s">
        <v>20</v>
      </c>
      <c r="K94" s="1">
        <v>4530</v>
      </c>
      <c r="L94" s="1">
        <v>4487</v>
      </c>
      <c r="M94" s="1" t="s">
        <v>18</v>
      </c>
      <c r="N94" s="1" t="s">
        <v>1534</v>
      </c>
      <c r="O94" s="1" t="s">
        <v>42</v>
      </c>
      <c r="P94" s="1" t="s">
        <v>467</v>
      </c>
      <c r="Q94" s="1" t="s">
        <v>1526</v>
      </c>
      <c r="R94" s="1" t="s">
        <v>35</v>
      </c>
      <c r="S94" s="1" t="s">
        <v>21</v>
      </c>
      <c r="T94" s="1">
        <v>2</v>
      </c>
      <c r="U94" s="1" t="s">
        <v>14</v>
      </c>
      <c r="V94" s="1" t="s">
        <v>53</v>
      </c>
      <c r="W94" s="1">
        <v>1</v>
      </c>
      <c r="X94" s="1">
        <v>78</v>
      </c>
      <c r="Y94" s="1">
        <f>78/4451</f>
        <v>1.7524151875982927E-2</v>
      </c>
      <c r="Z94" s="1" t="s">
        <v>39</v>
      </c>
      <c r="AA94" s="1" t="s">
        <v>1543</v>
      </c>
      <c r="AB94" s="1" t="s">
        <v>1544</v>
      </c>
      <c r="AC94" s="1" t="s">
        <v>9</v>
      </c>
      <c r="AD94" s="1" t="s">
        <v>9</v>
      </c>
      <c r="AE94" s="1" t="s">
        <v>8</v>
      </c>
      <c r="AF94" s="1" t="s">
        <v>0</v>
      </c>
      <c r="AG94" s="1" t="s">
        <v>0</v>
      </c>
      <c r="AH94" s="1" t="s">
        <v>26</v>
      </c>
      <c r="AI94" s="1" t="s">
        <v>56</v>
      </c>
      <c r="AJ94" s="1" t="s">
        <v>721</v>
      </c>
      <c r="AK94" s="1"/>
      <c r="AL94" s="1"/>
      <c r="AM94" s="1"/>
      <c r="AN94" s="1"/>
      <c r="AO94" s="1" t="s">
        <v>9</v>
      </c>
      <c r="AP94" s="1" t="s">
        <v>9</v>
      </c>
      <c r="AQ94" s="1" t="s">
        <v>35</v>
      </c>
      <c r="AR94" s="1" t="s">
        <v>1</v>
      </c>
      <c r="AS94" s="1">
        <f>EXP(0.3584)</f>
        <v>1.4310379211805995</v>
      </c>
      <c r="AT94" s="18">
        <f>EXP(0.14886790343364)</f>
        <v>1.1605196784186818</v>
      </c>
      <c r="AU94" s="18">
        <f>EXP(0.862849257880891)</f>
        <v>2.3699035494418776</v>
      </c>
      <c r="AV94" s="1" t="s">
        <v>0</v>
      </c>
      <c r="AW94" s="1"/>
      <c r="AX94" s="1"/>
      <c r="AY94" s="1"/>
      <c r="AZ94" s="1" t="s">
        <v>0</v>
      </c>
      <c r="BA94" s="1" t="s">
        <v>1</v>
      </c>
      <c r="BB94" s="1">
        <f>EXP(0.3584)</f>
        <v>1.4310379211805995</v>
      </c>
      <c r="BC94" s="18">
        <f>EXP(0.14886790343364)</f>
        <v>1.1605196784186818</v>
      </c>
      <c r="BD94" s="18">
        <f>EXP(0.862849257880891)</f>
        <v>2.3699035494418776</v>
      </c>
      <c r="BE94" s="1">
        <v>2.1899999999999999E-2</v>
      </c>
      <c r="BF94" s="1" t="s">
        <v>1549</v>
      </c>
    </row>
    <row r="95" spans="1:58" x14ac:dyDescent="0.25">
      <c r="A95" s="1" t="s">
        <v>619</v>
      </c>
      <c r="B95" s="1" t="s">
        <v>620</v>
      </c>
      <c r="C95" s="1" t="s">
        <v>621</v>
      </c>
      <c r="D95" s="1">
        <v>2023</v>
      </c>
      <c r="E95" s="1" t="b">
        <v>0</v>
      </c>
      <c r="F95" s="1" t="s">
        <v>1381</v>
      </c>
      <c r="G95" s="1" t="s">
        <v>1380</v>
      </c>
      <c r="H95" s="1" t="s">
        <v>22</v>
      </c>
      <c r="I95" s="1" t="s">
        <v>622</v>
      </c>
      <c r="J95" s="1" t="s">
        <v>386</v>
      </c>
      <c r="K95" s="1">
        <v>6665</v>
      </c>
      <c r="L95" s="1">
        <v>6665</v>
      </c>
      <c r="M95" s="1" t="s">
        <v>148</v>
      </c>
      <c r="N95" s="1" t="s">
        <v>117</v>
      </c>
      <c r="O95" s="1" t="s">
        <v>42</v>
      </c>
      <c r="P95" s="1" t="s">
        <v>15</v>
      </c>
      <c r="Q95" s="1" t="s">
        <v>1527</v>
      </c>
      <c r="R95" s="1" t="s">
        <v>35</v>
      </c>
      <c r="S95" s="1" t="s">
        <v>1528</v>
      </c>
      <c r="T95" s="1">
        <v>2</v>
      </c>
      <c r="U95" t="s">
        <v>112</v>
      </c>
      <c r="V95" s="1" t="s">
        <v>53</v>
      </c>
      <c r="W95" s="1" t="s">
        <v>13</v>
      </c>
      <c r="X95" s="1" t="s">
        <v>0</v>
      </c>
      <c r="Y95" s="1" t="s">
        <v>0</v>
      </c>
      <c r="Z95" s="1" t="s">
        <v>39</v>
      </c>
      <c r="AA95" s="1" t="s">
        <v>623</v>
      </c>
      <c r="AB95" s="1" t="s">
        <v>0</v>
      </c>
      <c r="AC95" s="1" t="s">
        <v>9</v>
      </c>
      <c r="AD95" s="1" t="s">
        <v>9</v>
      </c>
      <c r="AE95" s="1" t="s">
        <v>624</v>
      </c>
      <c r="AF95" s="1" t="s">
        <v>625</v>
      </c>
      <c r="AG95" s="1" t="s">
        <v>626</v>
      </c>
      <c r="AH95" s="1" t="s">
        <v>26</v>
      </c>
      <c r="AI95" s="1" t="s">
        <v>627</v>
      </c>
      <c r="AJ95" s="1" t="s">
        <v>628</v>
      </c>
      <c r="AK95" s="1"/>
      <c r="AL95" s="1"/>
      <c r="AM95" s="1"/>
      <c r="AN95" s="1"/>
      <c r="AO95" s="1"/>
      <c r="AP95" s="1"/>
      <c r="AQ95" s="1" t="s">
        <v>35</v>
      </c>
      <c r="AR95" s="1" t="s">
        <v>629</v>
      </c>
      <c r="AS95" s="1">
        <v>1.08</v>
      </c>
      <c r="AT95" s="1">
        <v>0.87</v>
      </c>
      <c r="AU95" s="1">
        <v>1.35</v>
      </c>
      <c r="AV95" s="1" t="s">
        <v>629</v>
      </c>
      <c r="AW95" s="1">
        <v>1.02</v>
      </c>
      <c r="AX95" s="1">
        <v>0.81</v>
      </c>
      <c r="AY95" s="1">
        <v>1.27</v>
      </c>
      <c r="AZ95" s="1" t="s">
        <v>630</v>
      </c>
      <c r="BA95" s="1" t="s">
        <v>629</v>
      </c>
      <c r="BB95" s="1">
        <v>1.08</v>
      </c>
      <c r="BC95" s="1">
        <v>0.87</v>
      </c>
      <c r="BD95" s="1">
        <v>1.35</v>
      </c>
      <c r="BE95" s="1" t="s">
        <v>630</v>
      </c>
      <c r="BF95" s="1" t="s">
        <v>631</v>
      </c>
    </row>
    <row r="96" spans="1:58" x14ac:dyDescent="0.25">
      <c r="A96" s="1" t="s">
        <v>632</v>
      </c>
      <c r="B96" s="1" t="s">
        <v>633</v>
      </c>
      <c r="C96" s="1" t="s">
        <v>634</v>
      </c>
      <c r="D96" s="1">
        <v>2020</v>
      </c>
      <c r="E96" s="1" t="b">
        <v>0</v>
      </c>
      <c r="F96" s="1" t="s">
        <v>1381</v>
      </c>
      <c r="G96" s="1" t="s">
        <v>1380</v>
      </c>
      <c r="H96" s="1" t="s">
        <v>22</v>
      </c>
      <c r="I96" s="1" t="s">
        <v>21</v>
      </c>
      <c r="J96" s="1" t="s">
        <v>386</v>
      </c>
      <c r="K96" s="1">
        <v>1555</v>
      </c>
      <c r="L96" s="1" t="s">
        <v>635</v>
      </c>
      <c r="M96" s="1" t="s">
        <v>148</v>
      </c>
      <c r="N96" s="1" t="s">
        <v>636</v>
      </c>
      <c r="O96" s="1" t="s">
        <v>637</v>
      </c>
      <c r="P96" s="1" t="s">
        <v>15</v>
      </c>
      <c r="Q96" s="1" t="s">
        <v>1527</v>
      </c>
      <c r="R96" s="1" t="s">
        <v>35</v>
      </c>
      <c r="S96" s="1" t="s">
        <v>21</v>
      </c>
      <c r="T96" s="1">
        <v>1</v>
      </c>
      <c r="U96" s="1" t="s">
        <v>145</v>
      </c>
      <c r="V96" s="1" t="s">
        <v>53</v>
      </c>
      <c r="W96" s="1" t="s">
        <v>13</v>
      </c>
      <c r="X96" s="1" t="s">
        <v>638</v>
      </c>
      <c r="Y96" s="1">
        <v>8.1670000000000006E-2</v>
      </c>
      <c r="Z96" s="1" t="s">
        <v>11</v>
      </c>
      <c r="AA96" s="1" t="s">
        <v>639</v>
      </c>
      <c r="AB96" s="1" t="s">
        <v>639</v>
      </c>
      <c r="AC96" s="1" t="s">
        <v>67</v>
      </c>
      <c r="AD96" s="1" t="s">
        <v>53</v>
      </c>
      <c r="AE96" s="1" t="s">
        <v>8</v>
      </c>
      <c r="AF96" s="1" t="s">
        <v>640</v>
      </c>
      <c r="AG96" s="1">
        <v>2.0578777999999999E-2</v>
      </c>
      <c r="AH96" s="1" t="s">
        <v>26</v>
      </c>
      <c r="AI96" s="1" t="s">
        <v>36</v>
      </c>
      <c r="AJ96" s="1" t="s">
        <v>641</v>
      </c>
      <c r="AK96" s="1"/>
      <c r="AL96" s="1"/>
      <c r="AM96" s="1"/>
      <c r="AN96" s="1"/>
      <c r="AO96" s="1"/>
      <c r="AP96" s="1"/>
      <c r="AQ96" s="1" t="s">
        <v>35</v>
      </c>
      <c r="AR96" s="1" t="s">
        <v>1</v>
      </c>
      <c r="AS96" s="1">
        <v>0.74</v>
      </c>
      <c r="AT96" s="1">
        <v>0.21</v>
      </c>
      <c r="AU96" s="1">
        <v>2.62</v>
      </c>
      <c r="AV96" s="1" t="s">
        <v>1</v>
      </c>
      <c r="AW96" s="1">
        <v>1.167130144605117</v>
      </c>
      <c r="AX96" s="1">
        <v>0.35</v>
      </c>
      <c r="AY96" s="1">
        <v>3.89</v>
      </c>
      <c r="AZ96" s="1" t="s">
        <v>642</v>
      </c>
      <c r="BA96" s="1" t="s">
        <v>1</v>
      </c>
      <c r="BB96" s="1">
        <v>0.74</v>
      </c>
      <c r="BC96" s="1">
        <v>0.21</v>
      </c>
      <c r="BD96" s="1">
        <v>2.62</v>
      </c>
      <c r="BE96" s="1" t="s">
        <v>643</v>
      </c>
      <c r="BF96" s="1" t="s">
        <v>1463</v>
      </c>
    </row>
    <row r="97" spans="1:58" x14ac:dyDescent="0.25">
      <c r="A97" s="1" t="s">
        <v>644</v>
      </c>
      <c r="B97" s="1" t="s">
        <v>645</v>
      </c>
      <c r="C97" s="1" t="s">
        <v>646</v>
      </c>
      <c r="D97" s="1">
        <v>2022</v>
      </c>
      <c r="E97" s="1" t="b">
        <v>0</v>
      </c>
      <c r="F97" s="1" t="s">
        <v>1381</v>
      </c>
      <c r="G97" s="1" t="s">
        <v>1380</v>
      </c>
      <c r="H97" s="1" t="s">
        <v>22</v>
      </c>
      <c r="I97" s="1" t="s">
        <v>21</v>
      </c>
      <c r="J97" s="1" t="s">
        <v>386</v>
      </c>
      <c r="K97" s="1">
        <v>3005</v>
      </c>
      <c r="L97" s="1" t="s">
        <v>647</v>
      </c>
      <c r="M97" s="1" t="s">
        <v>148</v>
      </c>
      <c r="N97" s="1" t="s">
        <v>147</v>
      </c>
      <c r="O97" s="1" t="s">
        <v>42</v>
      </c>
      <c r="P97" s="1" t="s">
        <v>15</v>
      </c>
      <c r="Q97" s="1" t="s">
        <v>1527</v>
      </c>
      <c r="R97" s="1" t="s">
        <v>2</v>
      </c>
      <c r="S97" s="1" t="s">
        <v>21</v>
      </c>
      <c r="T97" s="1">
        <v>0</v>
      </c>
      <c r="U97" s="1" t="s">
        <v>14</v>
      </c>
      <c r="V97" s="1" t="s">
        <v>53</v>
      </c>
      <c r="W97" s="1" t="s">
        <v>13</v>
      </c>
      <c r="X97" s="1" t="s">
        <v>648</v>
      </c>
      <c r="Y97" s="1" t="s">
        <v>649</v>
      </c>
      <c r="Z97" s="1" t="s">
        <v>11</v>
      </c>
      <c r="AA97" s="1" t="s">
        <v>650</v>
      </c>
      <c r="AB97" s="1" t="s">
        <v>11</v>
      </c>
      <c r="AC97" s="1" t="s">
        <v>41</v>
      </c>
      <c r="AD97" s="1" t="s">
        <v>53</v>
      </c>
      <c r="AE97" s="1" t="s">
        <v>63</v>
      </c>
      <c r="AF97" s="1" t="s">
        <v>651</v>
      </c>
      <c r="AG97" s="1" t="s">
        <v>652</v>
      </c>
      <c r="AH97" s="1" t="s">
        <v>26</v>
      </c>
      <c r="AI97" s="1" t="s">
        <v>627</v>
      </c>
      <c r="AJ97" s="1" t="s">
        <v>653</v>
      </c>
      <c r="AK97" s="1"/>
      <c r="AL97" s="1"/>
      <c r="AM97" s="1"/>
      <c r="AN97" s="1"/>
      <c r="AO97" s="1"/>
      <c r="AP97" s="1"/>
      <c r="AQ97" s="1" t="s">
        <v>2</v>
      </c>
      <c r="AR97" s="1" t="s">
        <v>654</v>
      </c>
      <c r="AS97" s="1">
        <v>1.4207792207792209</v>
      </c>
      <c r="AT97" s="1">
        <v>0.04</v>
      </c>
      <c r="AU97" s="1">
        <v>52.04</v>
      </c>
      <c r="AV97" s="1" t="s">
        <v>654</v>
      </c>
      <c r="AW97" s="1">
        <v>1.4207792207792209</v>
      </c>
      <c r="AX97" s="1">
        <v>0.04</v>
      </c>
      <c r="AY97" s="1">
        <v>52.04</v>
      </c>
      <c r="AZ97" s="1" t="s">
        <v>0</v>
      </c>
      <c r="BA97" s="1" t="s">
        <v>0</v>
      </c>
      <c r="BB97" s="1"/>
      <c r="BC97" s="1"/>
      <c r="BD97" s="1"/>
      <c r="BE97" s="1" t="s">
        <v>0</v>
      </c>
      <c r="BF97" s="1" t="s">
        <v>0</v>
      </c>
    </row>
    <row r="98" spans="1:58" x14ac:dyDescent="0.25">
      <c r="A98" s="1" t="s">
        <v>655</v>
      </c>
      <c r="B98" s="1" t="s">
        <v>656</v>
      </c>
      <c r="C98" s="1" t="s">
        <v>657</v>
      </c>
      <c r="D98" s="1">
        <v>2020</v>
      </c>
      <c r="E98" s="1" t="b">
        <v>0</v>
      </c>
      <c r="F98" s="1" t="s">
        <v>1381</v>
      </c>
      <c r="G98" s="1" t="s">
        <v>1380</v>
      </c>
      <c r="H98" s="1" t="s">
        <v>22</v>
      </c>
      <c r="I98" s="1" t="s">
        <v>21</v>
      </c>
      <c r="J98" s="1" t="s">
        <v>20</v>
      </c>
      <c r="K98" s="1">
        <v>2091</v>
      </c>
      <c r="L98" s="1">
        <v>848</v>
      </c>
      <c r="M98" s="1" t="s">
        <v>18</v>
      </c>
      <c r="N98" s="1" t="s">
        <v>658</v>
      </c>
      <c r="O98" s="1" t="s">
        <v>1472</v>
      </c>
      <c r="P98" s="1" t="s">
        <v>659</v>
      </c>
      <c r="Q98" s="1" t="s">
        <v>1526</v>
      </c>
      <c r="R98" s="1" t="s">
        <v>35</v>
      </c>
      <c r="S98" s="1" t="s">
        <v>21</v>
      </c>
      <c r="T98" s="1">
        <v>2</v>
      </c>
      <c r="U98" s="1" t="s">
        <v>14</v>
      </c>
      <c r="V98" s="1" t="s">
        <v>53</v>
      </c>
      <c r="W98" s="1" t="s">
        <v>13</v>
      </c>
      <c r="X98" s="1">
        <v>83</v>
      </c>
      <c r="Y98" s="1">
        <v>0.105</v>
      </c>
      <c r="Z98" s="1" t="s">
        <v>80</v>
      </c>
      <c r="AA98" s="1" t="s">
        <v>80</v>
      </c>
      <c r="AB98" s="1" t="s">
        <v>80</v>
      </c>
      <c r="AC98" s="1" t="s">
        <v>41</v>
      </c>
      <c r="AD98" s="1" t="s">
        <v>53</v>
      </c>
      <c r="AE98" s="1" t="s">
        <v>8</v>
      </c>
      <c r="AF98" s="1">
        <v>146</v>
      </c>
      <c r="AG98" s="1">
        <v>0.17199999999999999</v>
      </c>
      <c r="AH98" s="1" t="s">
        <v>26</v>
      </c>
      <c r="AI98" s="1" t="s">
        <v>36</v>
      </c>
      <c r="AJ98" s="1" t="s">
        <v>213</v>
      </c>
      <c r="AK98" s="1"/>
      <c r="AL98" s="1"/>
      <c r="AM98" s="1"/>
      <c r="AN98" s="1"/>
      <c r="AO98" s="1"/>
      <c r="AP98" s="1"/>
      <c r="AQ98" s="1" t="s">
        <v>35</v>
      </c>
      <c r="AR98" s="1" t="s">
        <v>1</v>
      </c>
      <c r="AS98" s="1">
        <v>2.5</v>
      </c>
      <c r="AT98" s="1">
        <v>1.2</v>
      </c>
      <c r="AU98" s="1">
        <v>4.9000000000000004</v>
      </c>
      <c r="AV98" s="1" t="s">
        <v>1</v>
      </c>
      <c r="AW98" s="1">
        <v>2.2999999999999998</v>
      </c>
      <c r="AX98" s="1">
        <v>1.2</v>
      </c>
      <c r="AY98" s="1">
        <v>4.2</v>
      </c>
      <c r="AZ98" s="1">
        <v>8.9999999999999993E-3</v>
      </c>
      <c r="BA98" s="1" t="s">
        <v>1</v>
      </c>
      <c r="BB98" s="1">
        <v>2.5</v>
      </c>
      <c r="BC98" s="1">
        <v>1.2</v>
      </c>
      <c r="BD98" s="1">
        <v>4.9000000000000004</v>
      </c>
      <c r="BE98" s="1">
        <v>1.2E-2</v>
      </c>
      <c r="BF98" s="1" t="s">
        <v>663</v>
      </c>
    </row>
    <row r="99" spans="1:58" x14ac:dyDescent="0.25">
      <c r="A99" s="1" t="s">
        <v>655</v>
      </c>
      <c r="B99" s="1" t="s">
        <v>656</v>
      </c>
      <c r="C99" s="1" t="s">
        <v>657</v>
      </c>
      <c r="D99" s="1">
        <v>2020</v>
      </c>
      <c r="E99" s="1" t="b">
        <v>0</v>
      </c>
      <c r="F99" s="1" t="s">
        <v>1381</v>
      </c>
      <c r="G99" s="1" t="s">
        <v>1380</v>
      </c>
      <c r="H99" s="1" t="s">
        <v>22</v>
      </c>
      <c r="I99" s="1" t="s">
        <v>21</v>
      </c>
      <c r="J99" s="1" t="s">
        <v>20</v>
      </c>
      <c r="K99" s="1">
        <v>2091</v>
      </c>
      <c r="L99" s="1">
        <v>713</v>
      </c>
      <c r="M99" s="1" t="s">
        <v>18</v>
      </c>
      <c r="N99" s="1" t="s">
        <v>658</v>
      </c>
      <c r="O99" s="1" t="s">
        <v>1471</v>
      </c>
      <c r="P99" s="1" t="s">
        <v>659</v>
      </c>
      <c r="Q99" s="1" t="s">
        <v>1526</v>
      </c>
      <c r="R99" s="1" t="s">
        <v>2</v>
      </c>
      <c r="S99" s="1" t="s">
        <v>21</v>
      </c>
      <c r="T99" s="1">
        <v>1</v>
      </c>
      <c r="U99" s="1" t="s">
        <v>14</v>
      </c>
      <c r="V99" s="1" t="s">
        <v>53</v>
      </c>
      <c r="W99" s="1" t="s">
        <v>13</v>
      </c>
      <c r="X99" s="1">
        <v>94</v>
      </c>
      <c r="Y99" s="1">
        <v>0.124</v>
      </c>
      <c r="Z99" s="1" t="s">
        <v>11</v>
      </c>
      <c r="AA99" s="1" t="s">
        <v>11</v>
      </c>
      <c r="AB99" s="1" t="s">
        <v>11</v>
      </c>
      <c r="AC99" s="1" t="s">
        <v>41</v>
      </c>
      <c r="AD99" s="1" t="s">
        <v>53</v>
      </c>
      <c r="AE99" s="1" t="s">
        <v>8</v>
      </c>
      <c r="AF99" s="1" t="s">
        <v>661</v>
      </c>
      <c r="AG99" s="1" t="s">
        <v>545</v>
      </c>
      <c r="AH99" s="1" t="s">
        <v>26</v>
      </c>
      <c r="AI99" s="1" t="s">
        <v>36</v>
      </c>
      <c r="AJ99" s="1" t="s">
        <v>213</v>
      </c>
      <c r="AK99" s="1"/>
      <c r="AL99" s="1"/>
      <c r="AM99" s="1"/>
      <c r="AN99" s="1"/>
      <c r="AO99" s="1"/>
      <c r="AP99" s="1"/>
      <c r="AQ99" s="1" t="s">
        <v>2</v>
      </c>
      <c r="AR99" s="1" t="s">
        <v>1</v>
      </c>
      <c r="AS99" s="1">
        <v>2.8</v>
      </c>
      <c r="AT99" s="1">
        <v>1.3</v>
      </c>
      <c r="AU99" s="1">
        <v>6.1</v>
      </c>
      <c r="AV99" s="1" t="s">
        <v>1</v>
      </c>
      <c r="AW99" s="1">
        <v>2.8</v>
      </c>
      <c r="AX99" s="1">
        <v>1.3</v>
      </c>
      <c r="AY99" s="1">
        <v>6.1</v>
      </c>
      <c r="AZ99" s="1">
        <v>8.9999999999999993E-3</v>
      </c>
      <c r="BA99" s="1" t="s">
        <v>0</v>
      </c>
      <c r="BB99" s="1"/>
      <c r="BC99" s="1"/>
      <c r="BD99" s="1"/>
      <c r="BE99" s="1" t="s">
        <v>0</v>
      </c>
      <c r="BF99" s="1" t="s">
        <v>0</v>
      </c>
    </row>
    <row r="100" spans="1:58" x14ac:dyDescent="0.25">
      <c r="A100" s="1" t="s">
        <v>664</v>
      </c>
      <c r="B100" s="1" t="s">
        <v>665</v>
      </c>
      <c r="C100" s="1" t="s">
        <v>666</v>
      </c>
      <c r="D100" s="1">
        <v>2017</v>
      </c>
      <c r="E100" s="1" t="b">
        <v>0</v>
      </c>
      <c r="F100" s="1" t="s">
        <v>1380</v>
      </c>
      <c r="G100" s="1" t="s">
        <v>1380</v>
      </c>
      <c r="H100" s="1" t="s">
        <v>22</v>
      </c>
      <c r="I100" s="1" t="s">
        <v>21</v>
      </c>
      <c r="J100" s="1" t="s">
        <v>20</v>
      </c>
      <c r="K100" s="1">
        <v>496</v>
      </c>
      <c r="L100" s="1" t="s">
        <v>550</v>
      </c>
      <c r="M100" s="1" t="s">
        <v>260</v>
      </c>
      <c r="N100" s="1" t="s">
        <v>475</v>
      </c>
      <c r="O100" s="1" t="s">
        <v>551</v>
      </c>
      <c r="P100" s="1" t="s">
        <v>15</v>
      </c>
      <c r="Q100" s="1" t="s">
        <v>1526</v>
      </c>
      <c r="R100" s="1" t="s">
        <v>2</v>
      </c>
      <c r="S100" s="1" t="s">
        <v>21</v>
      </c>
      <c r="T100" s="1">
        <v>1</v>
      </c>
      <c r="U100" s="1" t="s">
        <v>112</v>
      </c>
      <c r="V100" s="1" t="s">
        <v>53</v>
      </c>
      <c r="W100" s="1" t="s">
        <v>13</v>
      </c>
      <c r="X100" s="1" t="s">
        <v>552</v>
      </c>
      <c r="Y100" s="1" t="s">
        <v>670</v>
      </c>
      <c r="Z100" s="1" t="s">
        <v>39</v>
      </c>
      <c r="AA100" s="1" t="s">
        <v>623</v>
      </c>
      <c r="AB100" s="1" t="s">
        <v>623</v>
      </c>
      <c r="AC100" s="1" t="s">
        <v>9</v>
      </c>
      <c r="AD100" s="1" t="s">
        <v>9</v>
      </c>
      <c r="AE100" s="1" t="s">
        <v>8</v>
      </c>
      <c r="AF100" s="1" t="s">
        <v>667</v>
      </c>
      <c r="AG100" s="1" t="s">
        <v>671</v>
      </c>
      <c r="AH100" s="1" t="s">
        <v>26</v>
      </c>
      <c r="AI100" s="1" t="s">
        <v>36</v>
      </c>
      <c r="AJ100" s="1" t="s">
        <v>672</v>
      </c>
      <c r="AK100" s="1"/>
      <c r="AL100" s="1"/>
      <c r="AM100" s="1"/>
      <c r="AN100" s="1"/>
      <c r="AO100" s="1"/>
      <c r="AP100" s="1"/>
      <c r="AQ100" s="1" t="s">
        <v>2</v>
      </c>
      <c r="AR100" s="1" t="s">
        <v>1</v>
      </c>
      <c r="AS100" s="1">
        <v>1.18</v>
      </c>
      <c r="AT100" s="1">
        <v>0.8</v>
      </c>
      <c r="AU100" s="1">
        <v>1.73</v>
      </c>
      <c r="AV100" s="1" t="s">
        <v>1</v>
      </c>
      <c r="AW100" s="1">
        <v>1.18</v>
      </c>
      <c r="AX100" s="1">
        <v>0.8</v>
      </c>
      <c r="AY100" s="1">
        <v>1.73</v>
      </c>
      <c r="AZ100" s="1" t="s">
        <v>669</v>
      </c>
      <c r="BA100" s="1" t="s">
        <v>0</v>
      </c>
      <c r="BB100" s="1"/>
      <c r="BC100" s="1"/>
      <c r="BD100" s="1"/>
      <c r="BE100" s="1" t="s">
        <v>0</v>
      </c>
      <c r="BF100" s="1" t="s">
        <v>0</v>
      </c>
    </row>
    <row r="101" spans="1:58" x14ac:dyDescent="0.25">
      <c r="A101" s="1" t="s">
        <v>664</v>
      </c>
      <c r="B101" s="1" t="s">
        <v>665</v>
      </c>
      <c r="C101" s="1" t="s">
        <v>666</v>
      </c>
      <c r="D101" s="1">
        <v>2017</v>
      </c>
      <c r="E101" s="1" t="b">
        <v>0</v>
      </c>
      <c r="F101" s="1" t="s">
        <v>1380</v>
      </c>
      <c r="G101" s="1" t="s">
        <v>1380</v>
      </c>
      <c r="H101" s="1" t="s">
        <v>22</v>
      </c>
      <c r="I101" s="1" t="s">
        <v>21</v>
      </c>
      <c r="J101" s="1" t="s">
        <v>20</v>
      </c>
      <c r="K101" s="1">
        <v>496</v>
      </c>
      <c r="L101" s="1">
        <v>62</v>
      </c>
      <c r="M101" s="1" t="s">
        <v>260</v>
      </c>
      <c r="N101" s="1" t="s">
        <v>475</v>
      </c>
      <c r="O101" s="1" t="s">
        <v>551</v>
      </c>
      <c r="P101" s="1" t="s">
        <v>15</v>
      </c>
      <c r="Q101" s="1" t="s">
        <v>1526</v>
      </c>
      <c r="R101" s="1" t="s">
        <v>2</v>
      </c>
      <c r="S101" s="1" t="s">
        <v>21</v>
      </c>
      <c r="T101" s="1">
        <v>1</v>
      </c>
      <c r="U101" s="1" t="s">
        <v>112</v>
      </c>
      <c r="V101" s="1" t="s">
        <v>53</v>
      </c>
      <c r="W101" s="1" t="s">
        <v>13</v>
      </c>
      <c r="X101" s="1">
        <v>62</v>
      </c>
      <c r="Y101" s="1">
        <v>1</v>
      </c>
      <c r="Z101" s="1" t="s">
        <v>39</v>
      </c>
      <c r="AA101" s="1" t="s">
        <v>623</v>
      </c>
      <c r="AB101" s="1" t="s">
        <v>623</v>
      </c>
      <c r="AC101" s="1" t="s">
        <v>9</v>
      </c>
      <c r="AD101" s="1" t="s">
        <v>9</v>
      </c>
      <c r="AE101" s="1" t="s">
        <v>8</v>
      </c>
      <c r="AF101" s="1">
        <v>39</v>
      </c>
      <c r="AG101" s="1">
        <v>0.67900000000000005</v>
      </c>
      <c r="AH101" s="1" t="s">
        <v>6</v>
      </c>
      <c r="AI101" s="1" t="s">
        <v>5</v>
      </c>
      <c r="AJ101" s="1" t="s">
        <v>668</v>
      </c>
      <c r="AK101" s="1"/>
      <c r="AL101" s="1"/>
      <c r="AM101" s="1"/>
      <c r="AN101" s="1" t="s">
        <v>3</v>
      </c>
      <c r="AO101" s="1"/>
      <c r="AP101" s="1"/>
      <c r="AQ101" s="1" t="s">
        <v>2</v>
      </c>
      <c r="AR101" s="1" t="s">
        <v>1</v>
      </c>
      <c r="AS101" s="1">
        <v>0.59</v>
      </c>
      <c r="AT101" s="1">
        <v>0.2</v>
      </c>
      <c r="AU101" s="1">
        <v>1.79</v>
      </c>
      <c r="AV101" s="1" t="s">
        <v>1</v>
      </c>
      <c r="AW101" s="1">
        <v>0.59</v>
      </c>
      <c r="AX101" s="1">
        <v>0.2</v>
      </c>
      <c r="AY101" s="1">
        <v>1.79</v>
      </c>
      <c r="AZ101" s="1" t="s">
        <v>669</v>
      </c>
      <c r="BA101" s="1" t="s">
        <v>0</v>
      </c>
      <c r="BB101" s="1"/>
      <c r="BC101" s="1"/>
      <c r="BD101" s="1"/>
      <c r="BE101" s="1" t="s">
        <v>0</v>
      </c>
      <c r="BF101" s="1" t="s">
        <v>0</v>
      </c>
    </row>
    <row r="102" spans="1:58" x14ac:dyDescent="0.25">
      <c r="A102" s="1" t="s">
        <v>673</v>
      </c>
      <c r="B102" s="1" t="s">
        <v>674</v>
      </c>
      <c r="C102" s="1" t="s">
        <v>675</v>
      </c>
      <c r="D102" s="1">
        <v>2014</v>
      </c>
      <c r="E102" s="1" t="b">
        <v>1</v>
      </c>
      <c r="F102" s="1" t="s">
        <v>1380</v>
      </c>
      <c r="G102" s="1" t="s">
        <v>1380</v>
      </c>
      <c r="H102" s="1" t="s">
        <v>22</v>
      </c>
      <c r="I102" s="1" t="s">
        <v>21</v>
      </c>
      <c r="J102" s="1" t="s">
        <v>20</v>
      </c>
      <c r="K102" s="1">
        <v>4074</v>
      </c>
      <c r="L102" s="1" t="s">
        <v>676</v>
      </c>
      <c r="M102" s="1" t="s">
        <v>18</v>
      </c>
      <c r="N102" s="1" t="s">
        <v>259</v>
      </c>
      <c r="O102" s="1" t="s">
        <v>677</v>
      </c>
      <c r="P102" s="1" t="s">
        <v>258</v>
      </c>
      <c r="Q102" s="1" t="s">
        <v>1526</v>
      </c>
      <c r="R102" s="1" t="s">
        <v>35</v>
      </c>
      <c r="S102" s="1" t="s">
        <v>21</v>
      </c>
      <c r="T102" s="1">
        <v>2</v>
      </c>
      <c r="U102" s="1" t="s">
        <v>112</v>
      </c>
      <c r="V102" s="1" t="s">
        <v>53</v>
      </c>
      <c r="W102" s="1" t="s">
        <v>13</v>
      </c>
      <c r="X102" s="1" t="s">
        <v>678</v>
      </c>
      <c r="Y102" s="1" t="s">
        <v>679</v>
      </c>
      <c r="Z102" s="1" t="s">
        <v>39</v>
      </c>
      <c r="AA102" s="1" t="s">
        <v>680</v>
      </c>
      <c r="AB102" s="1" t="s">
        <v>681</v>
      </c>
      <c r="AC102" s="1" t="s">
        <v>41</v>
      </c>
      <c r="AD102" s="1" t="s">
        <v>53</v>
      </c>
      <c r="AE102" s="1" t="s">
        <v>8</v>
      </c>
      <c r="AF102" s="1" t="s">
        <v>682</v>
      </c>
      <c r="AG102" s="1" t="s">
        <v>683</v>
      </c>
      <c r="AH102" s="1" t="s">
        <v>26</v>
      </c>
      <c r="AI102" s="1" t="s">
        <v>36</v>
      </c>
      <c r="AJ102" s="1" t="s">
        <v>157</v>
      </c>
      <c r="AK102" s="1"/>
      <c r="AL102" s="1"/>
      <c r="AM102" s="1"/>
      <c r="AN102" s="1"/>
      <c r="AO102" s="1"/>
      <c r="AP102" s="1"/>
      <c r="AQ102" s="1" t="s">
        <v>35</v>
      </c>
      <c r="AR102" s="1" t="s">
        <v>1</v>
      </c>
      <c r="AS102" s="1">
        <v>1.76</v>
      </c>
      <c r="AT102" s="1">
        <v>1.43</v>
      </c>
      <c r="AU102" s="1">
        <v>2.16</v>
      </c>
      <c r="AV102" s="1" t="s">
        <v>1</v>
      </c>
      <c r="AW102" s="1">
        <v>1.74</v>
      </c>
      <c r="AX102" s="1">
        <v>1.42</v>
      </c>
      <c r="AY102" s="1">
        <v>2.14</v>
      </c>
      <c r="AZ102" s="1" t="s">
        <v>0</v>
      </c>
      <c r="BA102" s="1" t="s">
        <v>1</v>
      </c>
      <c r="BB102" s="1">
        <v>1.76</v>
      </c>
      <c r="BC102" s="1">
        <v>1.43</v>
      </c>
      <c r="BD102" s="1">
        <v>2.16</v>
      </c>
      <c r="BE102" s="1" t="s">
        <v>0</v>
      </c>
      <c r="BF102" s="1" t="s">
        <v>684</v>
      </c>
    </row>
    <row r="103" spans="1:58" x14ac:dyDescent="0.25">
      <c r="A103" s="1" t="s">
        <v>685</v>
      </c>
      <c r="B103" s="1" t="s">
        <v>686</v>
      </c>
      <c r="C103" s="1" t="s">
        <v>687</v>
      </c>
      <c r="D103" s="1">
        <v>2018</v>
      </c>
      <c r="E103" s="1" t="b">
        <v>0</v>
      </c>
      <c r="F103" s="1" t="s">
        <v>1381</v>
      </c>
      <c r="G103" s="1" t="s">
        <v>1380</v>
      </c>
      <c r="H103" s="1" t="s">
        <v>22</v>
      </c>
      <c r="I103" s="1" t="s">
        <v>21</v>
      </c>
      <c r="J103" s="1" t="s">
        <v>20</v>
      </c>
      <c r="K103" s="1">
        <v>496</v>
      </c>
      <c r="L103" s="1" t="s">
        <v>550</v>
      </c>
      <c r="M103" s="1" t="s">
        <v>260</v>
      </c>
      <c r="N103" s="1" t="s">
        <v>475</v>
      </c>
      <c r="O103" s="1" t="s">
        <v>688</v>
      </c>
      <c r="P103" s="1" t="s">
        <v>15</v>
      </c>
      <c r="Q103" s="1" t="s">
        <v>1526</v>
      </c>
      <c r="R103" s="1" t="s">
        <v>2</v>
      </c>
      <c r="S103" s="1" t="s">
        <v>21</v>
      </c>
      <c r="T103" s="1">
        <v>1</v>
      </c>
      <c r="U103" s="1" t="s">
        <v>112</v>
      </c>
      <c r="V103" s="1" t="s">
        <v>53</v>
      </c>
      <c r="W103" s="1" t="s">
        <v>13</v>
      </c>
      <c r="X103" s="1" t="s">
        <v>552</v>
      </c>
      <c r="Y103" s="1" t="s">
        <v>553</v>
      </c>
      <c r="Z103" s="1" t="s">
        <v>39</v>
      </c>
      <c r="AA103" s="1" t="s">
        <v>689</v>
      </c>
      <c r="AB103" s="1" t="s">
        <v>555</v>
      </c>
      <c r="AC103" s="1" t="s">
        <v>14</v>
      </c>
      <c r="AD103" s="1" t="s">
        <v>53</v>
      </c>
      <c r="AE103" s="1" t="s">
        <v>8</v>
      </c>
      <c r="AF103" s="1" t="s">
        <v>556</v>
      </c>
      <c r="AG103" s="1" t="s">
        <v>557</v>
      </c>
      <c r="AH103" s="1" t="s">
        <v>26</v>
      </c>
      <c r="AI103" s="1" t="s">
        <v>36</v>
      </c>
      <c r="AJ103" s="1" t="s">
        <v>690</v>
      </c>
      <c r="AK103" s="1"/>
      <c r="AL103" s="1"/>
      <c r="AM103" s="1"/>
      <c r="AN103" s="1"/>
      <c r="AO103" s="1"/>
      <c r="AP103" s="1"/>
      <c r="AQ103" s="1" t="s">
        <v>2</v>
      </c>
      <c r="AR103" s="1" t="s">
        <v>1</v>
      </c>
      <c r="AS103" s="1">
        <v>1.65</v>
      </c>
      <c r="AT103" s="1">
        <v>0.95</v>
      </c>
      <c r="AU103" s="1">
        <v>2.86</v>
      </c>
      <c r="AV103" s="1" t="s">
        <v>1</v>
      </c>
      <c r="AW103" s="1">
        <v>1.65</v>
      </c>
      <c r="AX103" s="1">
        <v>0.95</v>
      </c>
      <c r="AY103" s="1">
        <v>2.86</v>
      </c>
      <c r="AZ103" s="1" t="s">
        <v>691</v>
      </c>
      <c r="BA103" s="1" t="s">
        <v>0</v>
      </c>
      <c r="BB103" s="1"/>
      <c r="BC103" s="1"/>
      <c r="BD103" s="1"/>
      <c r="BE103" s="1" t="s">
        <v>0</v>
      </c>
      <c r="BF103" s="1" t="s">
        <v>0</v>
      </c>
    </row>
    <row r="104" spans="1:58" x14ac:dyDescent="0.25">
      <c r="A104" s="1" t="s">
        <v>693</v>
      </c>
      <c r="B104" s="1" t="s">
        <v>694</v>
      </c>
      <c r="C104" s="1" t="s">
        <v>695</v>
      </c>
      <c r="D104" s="1">
        <v>2017</v>
      </c>
      <c r="E104" s="1" t="b">
        <v>0</v>
      </c>
      <c r="F104" s="1" t="s">
        <v>1380</v>
      </c>
      <c r="G104" s="1" t="s">
        <v>1381</v>
      </c>
      <c r="H104" s="1" t="s">
        <v>22</v>
      </c>
      <c r="I104" s="1" t="s">
        <v>21</v>
      </c>
      <c r="J104" s="1" t="s">
        <v>20</v>
      </c>
      <c r="K104" s="1" t="s">
        <v>135</v>
      </c>
      <c r="L104" s="1" t="s">
        <v>135</v>
      </c>
      <c r="M104" s="1" t="s">
        <v>18</v>
      </c>
      <c r="N104" s="1" t="s">
        <v>134</v>
      </c>
      <c r="O104" s="1" t="s">
        <v>42</v>
      </c>
      <c r="P104" s="1" t="s">
        <v>133</v>
      </c>
      <c r="Q104" s="1" t="s">
        <v>1526</v>
      </c>
      <c r="R104" s="1" t="s">
        <v>2</v>
      </c>
      <c r="S104" s="1" t="s">
        <v>21</v>
      </c>
      <c r="T104" s="1">
        <v>1</v>
      </c>
      <c r="U104" s="1" t="s">
        <v>145</v>
      </c>
      <c r="V104" s="1" t="s">
        <v>53</v>
      </c>
      <c r="W104" s="1" t="s">
        <v>13</v>
      </c>
      <c r="X104" s="1" t="s">
        <v>0</v>
      </c>
      <c r="Y104" s="1" t="s">
        <v>0</v>
      </c>
      <c r="Z104" s="1" t="s">
        <v>80</v>
      </c>
      <c r="AA104" s="1" t="s">
        <v>80</v>
      </c>
      <c r="AB104" s="1" t="s">
        <v>80</v>
      </c>
      <c r="AC104" s="1" t="s">
        <v>41</v>
      </c>
      <c r="AD104" s="1" t="s">
        <v>53</v>
      </c>
      <c r="AE104" s="1" t="s">
        <v>696</v>
      </c>
      <c r="AF104" s="1" t="s">
        <v>697</v>
      </c>
      <c r="AG104" s="1" t="s">
        <v>698</v>
      </c>
      <c r="AH104" s="1" t="s">
        <v>6</v>
      </c>
      <c r="AI104" s="1" t="s">
        <v>36</v>
      </c>
      <c r="AJ104" s="1" t="s">
        <v>56</v>
      </c>
      <c r="AK104" s="1"/>
      <c r="AL104" s="1"/>
      <c r="AM104" s="1"/>
      <c r="AN104" s="1"/>
      <c r="AO104" s="1"/>
      <c r="AP104" s="1"/>
      <c r="AQ104" s="1" t="s">
        <v>2</v>
      </c>
      <c r="AR104" s="1" t="s">
        <v>139</v>
      </c>
      <c r="AS104" s="1">
        <v>1.79</v>
      </c>
      <c r="AT104" s="1">
        <v>1.04</v>
      </c>
      <c r="AU104" s="1">
        <v>3.08</v>
      </c>
      <c r="AV104" s="1" t="s">
        <v>139</v>
      </c>
      <c r="AW104" s="1">
        <v>1.79</v>
      </c>
      <c r="AX104" s="1">
        <v>1.04</v>
      </c>
      <c r="AY104" s="1">
        <v>3.08</v>
      </c>
      <c r="AZ104" s="1">
        <v>4.2999999999999997E-2</v>
      </c>
      <c r="BA104" s="1" t="s">
        <v>0</v>
      </c>
      <c r="BB104" s="1"/>
      <c r="BC104" s="1"/>
      <c r="BD104" s="1"/>
      <c r="BE104" s="1" t="s">
        <v>0</v>
      </c>
      <c r="BF104" s="1" t="s">
        <v>0</v>
      </c>
    </row>
    <row r="105" spans="1:58" x14ac:dyDescent="0.25">
      <c r="A105" s="1" t="s">
        <v>693</v>
      </c>
      <c r="B105" s="1" t="s">
        <v>694</v>
      </c>
      <c r="C105" s="1" t="s">
        <v>695</v>
      </c>
      <c r="D105" s="1">
        <v>2017</v>
      </c>
      <c r="E105" s="1" t="b">
        <v>0</v>
      </c>
      <c r="F105" s="1" t="s">
        <v>1380</v>
      </c>
      <c r="G105" s="1" t="s">
        <v>1381</v>
      </c>
      <c r="H105" s="1" t="s">
        <v>22</v>
      </c>
      <c r="I105" s="1" t="s">
        <v>21</v>
      </c>
      <c r="J105" s="1" t="s">
        <v>20</v>
      </c>
      <c r="K105" s="1" t="s">
        <v>135</v>
      </c>
      <c r="L105" s="1" t="s">
        <v>135</v>
      </c>
      <c r="M105" s="1" t="s">
        <v>18</v>
      </c>
      <c r="N105" s="1" t="s">
        <v>134</v>
      </c>
      <c r="O105" s="1" t="s">
        <v>42</v>
      </c>
      <c r="P105" s="1" t="s">
        <v>133</v>
      </c>
      <c r="Q105" s="1" t="s">
        <v>1526</v>
      </c>
      <c r="R105" s="1" t="s">
        <v>2</v>
      </c>
      <c r="S105" s="1" t="s">
        <v>21</v>
      </c>
      <c r="T105" s="1">
        <v>1</v>
      </c>
      <c r="U105" s="1" t="s">
        <v>145</v>
      </c>
      <c r="V105" s="1" t="s">
        <v>53</v>
      </c>
      <c r="W105" s="1" t="s">
        <v>13</v>
      </c>
      <c r="X105" s="1" t="s">
        <v>0</v>
      </c>
      <c r="Y105" s="1" t="s">
        <v>0</v>
      </c>
      <c r="Z105" s="1" t="s">
        <v>80</v>
      </c>
      <c r="AA105" s="1" t="s">
        <v>80</v>
      </c>
      <c r="AB105" s="1" t="s">
        <v>80</v>
      </c>
      <c r="AC105" s="1" t="s">
        <v>41</v>
      </c>
      <c r="AD105" s="1" t="s">
        <v>53</v>
      </c>
      <c r="AE105" s="1" t="s">
        <v>699</v>
      </c>
      <c r="AF105" s="1" t="s">
        <v>700</v>
      </c>
      <c r="AG105" s="1" t="s">
        <v>701</v>
      </c>
      <c r="AH105" s="1" t="s">
        <v>6</v>
      </c>
      <c r="AI105" s="1" t="s">
        <v>36</v>
      </c>
      <c r="AJ105" s="1" t="s">
        <v>56</v>
      </c>
      <c r="AK105" s="1"/>
      <c r="AL105" s="1"/>
      <c r="AM105" s="1"/>
      <c r="AN105" s="1"/>
      <c r="AO105" s="1"/>
      <c r="AP105" s="1"/>
      <c r="AQ105" s="1" t="s">
        <v>2</v>
      </c>
      <c r="AR105" s="1" t="s">
        <v>139</v>
      </c>
      <c r="AS105" s="1">
        <v>1.41</v>
      </c>
      <c r="AT105" s="1">
        <v>0.86</v>
      </c>
      <c r="AU105" s="1">
        <v>2.29</v>
      </c>
      <c r="AV105" s="1" t="s">
        <v>139</v>
      </c>
      <c r="AW105" s="1">
        <v>1.41</v>
      </c>
      <c r="AX105" s="1">
        <v>0.86</v>
      </c>
      <c r="AY105" s="1">
        <v>2.29</v>
      </c>
      <c r="AZ105" s="1" t="s">
        <v>702</v>
      </c>
      <c r="BA105" s="1" t="s">
        <v>0</v>
      </c>
      <c r="BB105" s="1"/>
      <c r="BC105" s="1"/>
      <c r="BD105" s="1"/>
      <c r="BE105" s="1" t="s">
        <v>0</v>
      </c>
      <c r="BF105" s="1" t="s">
        <v>0</v>
      </c>
    </row>
    <row r="106" spans="1:58" x14ac:dyDescent="0.25">
      <c r="A106" s="1" t="s">
        <v>693</v>
      </c>
      <c r="B106" s="1" t="s">
        <v>694</v>
      </c>
      <c r="C106" s="1" t="s">
        <v>695</v>
      </c>
      <c r="D106" s="1">
        <v>2017</v>
      </c>
      <c r="E106" s="1" t="b">
        <v>0</v>
      </c>
      <c r="F106" s="1" t="s">
        <v>1380</v>
      </c>
      <c r="G106" s="1" t="s">
        <v>1381</v>
      </c>
      <c r="H106" s="1" t="s">
        <v>22</v>
      </c>
      <c r="I106" s="1" t="s">
        <v>21</v>
      </c>
      <c r="J106" s="1" t="s">
        <v>20</v>
      </c>
      <c r="K106" s="1" t="s">
        <v>135</v>
      </c>
      <c r="L106" s="1" t="s">
        <v>135</v>
      </c>
      <c r="M106" s="1" t="s">
        <v>18</v>
      </c>
      <c r="N106" s="1" t="s">
        <v>134</v>
      </c>
      <c r="O106" s="1" t="s">
        <v>42</v>
      </c>
      <c r="P106" s="1" t="s">
        <v>133</v>
      </c>
      <c r="Q106" s="1" t="s">
        <v>1526</v>
      </c>
      <c r="R106" s="1" t="s">
        <v>2</v>
      </c>
      <c r="S106" s="1" t="s">
        <v>21</v>
      </c>
      <c r="T106" s="1">
        <v>1</v>
      </c>
      <c r="U106" s="1" t="s">
        <v>145</v>
      </c>
      <c r="V106" s="1" t="s">
        <v>53</v>
      </c>
      <c r="W106" s="1" t="s">
        <v>13</v>
      </c>
      <c r="X106" s="1" t="s">
        <v>0</v>
      </c>
      <c r="Y106" s="1" t="s">
        <v>0</v>
      </c>
      <c r="Z106" s="1" t="s">
        <v>80</v>
      </c>
      <c r="AA106" s="1" t="s">
        <v>80</v>
      </c>
      <c r="AB106" s="1" t="s">
        <v>80</v>
      </c>
      <c r="AC106" s="1" t="s">
        <v>41</v>
      </c>
      <c r="AD106" s="1" t="s">
        <v>53</v>
      </c>
      <c r="AE106" s="1" t="s">
        <v>160</v>
      </c>
      <c r="AF106" s="1" t="s">
        <v>703</v>
      </c>
      <c r="AG106" s="1" t="s">
        <v>704</v>
      </c>
      <c r="AH106" s="1" t="s">
        <v>6</v>
      </c>
      <c r="AI106" s="1" t="s">
        <v>36</v>
      </c>
      <c r="AJ106" s="1" t="s">
        <v>56</v>
      </c>
      <c r="AK106" s="1"/>
      <c r="AL106" s="1"/>
      <c r="AM106" s="1"/>
      <c r="AN106" s="1"/>
      <c r="AO106" s="1"/>
      <c r="AP106" s="1"/>
      <c r="AQ106" s="1" t="s">
        <v>2</v>
      </c>
      <c r="AR106" s="1" t="s">
        <v>139</v>
      </c>
      <c r="AS106" s="1">
        <v>1.36</v>
      </c>
      <c r="AT106" s="1">
        <v>0.94</v>
      </c>
      <c r="AU106" s="1">
        <v>1.97</v>
      </c>
      <c r="AV106" s="1" t="s">
        <v>139</v>
      </c>
      <c r="AW106" s="1">
        <v>1.36</v>
      </c>
      <c r="AX106" s="1">
        <v>0.94</v>
      </c>
      <c r="AY106" s="1">
        <v>1.97</v>
      </c>
      <c r="AZ106" s="1" t="s">
        <v>705</v>
      </c>
      <c r="BA106" s="1" t="s">
        <v>0</v>
      </c>
      <c r="BB106" s="1"/>
      <c r="BC106" s="1"/>
      <c r="BD106" s="1"/>
      <c r="BE106" s="1" t="s">
        <v>0</v>
      </c>
      <c r="BF106" s="1" t="s">
        <v>0</v>
      </c>
    </row>
    <row r="107" spans="1:58" x14ac:dyDescent="0.25">
      <c r="A107" s="1" t="s">
        <v>693</v>
      </c>
      <c r="B107" s="1" t="s">
        <v>694</v>
      </c>
      <c r="C107" s="1" t="s">
        <v>695</v>
      </c>
      <c r="D107" s="1">
        <v>2017</v>
      </c>
      <c r="E107" s="1" t="b">
        <v>0</v>
      </c>
      <c r="F107" s="1" t="s">
        <v>1380</v>
      </c>
      <c r="G107" s="1" t="s">
        <v>1381</v>
      </c>
      <c r="H107" s="1" t="s">
        <v>22</v>
      </c>
      <c r="I107" s="1" t="s">
        <v>21</v>
      </c>
      <c r="J107" s="1" t="s">
        <v>20</v>
      </c>
      <c r="K107" s="1" t="s">
        <v>135</v>
      </c>
      <c r="L107" s="1" t="s">
        <v>135</v>
      </c>
      <c r="M107" s="1" t="s">
        <v>18</v>
      </c>
      <c r="N107" s="1" t="s">
        <v>134</v>
      </c>
      <c r="O107" s="1" t="s">
        <v>42</v>
      </c>
      <c r="P107" s="1" t="s">
        <v>133</v>
      </c>
      <c r="Q107" s="1" t="s">
        <v>1526</v>
      </c>
      <c r="R107" s="1" t="s">
        <v>2</v>
      </c>
      <c r="S107" s="1" t="s">
        <v>21</v>
      </c>
      <c r="T107" s="1">
        <v>1</v>
      </c>
      <c r="U107" s="1" t="s">
        <v>145</v>
      </c>
      <c r="V107" s="1" t="s">
        <v>53</v>
      </c>
      <c r="W107" s="1" t="s">
        <v>13</v>
      </c>
      <c r="X107" s="1" t="s">
        <v>0</v>
      </c>
      <c r="Y107" s="1" t="s">
        <v>0</v>
      </c>
      <c r="Z107" s="1" t="s">
        <v>80</v>
      </c>
      <c r="AA107" s="1" t="s">
        <v>80</v>
      </c>
      <c r="AB107" s="1" t="s">
        <v>80</v>
      </c>
      <c r="AC107" s="1" t="s">
        <v>41</v>
      </c>
      <c r="AD107" s="1" t="s">
        <v>53</v>
      </c>
      <c r="AE107" s="1" t="s">
        <v>706</v>
      </c>
      <c r="AF107" s="1" t="s">
        <v>707</v>
      </c>
      <c r="AG107" s="1" t="s">
        <v>708</v>
      </c>
      <c r="AH107" s="1" t="s">
        <v>26</v>
      </c>
      <c r="AI107" s="1" t="s">
        <v>36</v>
      </c>
      <c r="AJ107" s="1" t="s">
        <v>56</v>
      </c>
      <c r="AK107" s="1"/>
      <c r="AL107" s="1"/>
      <c r="AM107" s="1"/>
      <c r="AN107" s="1"/>
      <c r="AO107" s="1"/>
      <c r="AP107" s="1"/>
      <c r="AQ107" s="1" t="s">
        <v>2</v>
      </c>
      <c r="AR107" s="1" t="s">
        <v>139</v>
      </c>
      <c r="AS107" s="1">
        <v>1.26</v>
      </c>
      <c r="AT107" s="1">
        <v>0.97</v>
      </c>
      <c r="AU107" s="1">
        <v>1.64</v>
      </c>
      <c r="AV107" s="1" t="s">
        <v>139</v>
      </c>
      <c r="AW107" s="1">
        <v>1.26</v>
      </c>
      <c r="AX107" s="1">
        <v>0.97</v>
      </c>
      <c r="AY107" s="1">
        <v>1.64</v>
      </c>
      <c r="AZ107" s="1" t="s">
        <v>709</v>
      </c>
      <c r="BA107" s="1" t="s">
        <v>0</v>
      </c>
      <c r="BB107" s="1"/>
      <c r="BC107" s="1"/>
      <c r="BD107" s="1"/>
      <c r="BE107" s="1" t="s">
        <v>0</v>
      </c>
      <c r="BF107" s="1" t="s">
        <v>0</v>
      </c>
    </row>
    <row r="108" spans="1:58" x14ac:dyDescent="0.25">
      <c r="A108" s="1" t="s">
        <v>693</v>
      </c>
      <c r="B108" s="1" t="s">
        <v>694</v>
      </c>
      <c r="C108" s="1" t="s">
        <v>695</v>
      </c>
      <c r="D108" s="1">
        <v>2017</v>
      </c>
      <c r="E108" s="1" t="b">
        <v>0</v>
      </c>
      <c r="F108" s="1" t="s">
        <v>1380</v>
      </c>
      <c r="G108" s="1" t="s">
        <v>1381</v>
      </c>
      <c r="H108" s="1" t="s">
        <v>22</v>
      </c>
      <c r="I108" s="1" t="s">
        <v>21</v>
      </c>
      <c r="J108" s="1" t="s">
        <v>20</v>
      </c>
      <c r="K108" s="1" t="s">
        <v>135</v>
      </c>
      <c r="L108" s="1" t="s">
        <v>135</v>
      </c>
      <c r="M108" s="1" t="s">
        <v>18</v>
      </c>
      <c r="N108" s="1" t="s">
        <v>134</v>
      </c>
      <c r="O108" s="1" t="s">
        <v>42</v>
      </c>
      <c r="P108" s="1" t="s">
        <v>133</v>
      </c>
      <c r="Q108" s="1" t="s">
        <v>1526</v>
      </c>
      <c r="R108" s="1" t="s">
        <v>2</v>
      </c>
      <c r="S108" s="1" t="s">
        <v>21</v>
      </c>
      <c r="T108" s="1">
        <v>1</v>
      </c>
      <c r="U108" s="1" t="s">
        <v>145</v>
      </c>
      <c r="V108" s="1" t="s">
        <v>53</v>
      </c>
      <c r="W108" s="1" t="s">
        <v>13</v>
      </c>
      <c r="X108" s="1" t="s">
        <v>0</v>
      </c>
      <c r="Y108" s="1" t="s">
        <v>0</v>
      </c>
      <c r="Z108" s="1" t="s">
        <v>80</v>
      </c>
      <c r="AA108" s="1" t="s">
        <v>80</v>
      </c>
      <c r="AB108" s="1" t="s">
        <v>80</v>
      </c>
      <c r="AC108" s="1" t="s">
        <v>41</v>
      </c>
      <c r="AD108" s="1" t="s">
        <v>53</v>
      </c>
      <c r="AE108" s="1" t="s">
        <v>74</v>
      </c>
      <c r="AF108" s="1" t="s">
        <v>710</v>
      </c>
      <c r="AG108" s="1">
        <v>7.8874356000000007E-2</v>
      </c>
      <c r="AH108" s="1" t="s">
        <v>6</v>
      </c>
      <c r="AI108" s="1" t="s">
        <v>36</v>
      </c>
      <c r="AJ108" s="1" t="s">
        <v>56</v>
      </c>
      <c r="AK108" s="1"/>
      <c r="AL108" s="1"/>
      <c r="AM108" s="1"/>
      <c r="AN108" s="1"/>
      <c r="AO108" s="1"/>
      <c r="AP108" s="1"/>
      <c r="AQ108" s="1" t="s">
        <v>2</v>
      </c>
      <c r="AR108" s="1" t="s">
        <v>139</v>
      </c>
      <c r="AS108" s="1">
        <v>1.82</v>
      </c>
      <c r="AT108" s="1">
        <v>1.05</v>
      </c>
      <c r="AU108" s="1">
        <v>3.16</v>
      </c>
      <c r="AV108" s="1" t="s">
        <v>139</v>
      </c>
      <c r="AW108" s="1">
        <v>1.82</v>
      </c>
      <c r="AX108" s="1">
        <v>1.05</v>
      </c>
      <c r="AY108" s="1">
        <v>3.16</v>
      </c>
      <c r="AZ108" s="1">
        <v>3.5999999999999997E-2</v>
      </c>
      <c r="BA108" s="1" t="s">
        <v>0</v>
      </c>
      <c r="BB108" s="1"/>
      <c r="BC108" s="1"/>
      <c r="BD108" s="1"/>
      <c r="BE108" s="1" t="s">
        <v>0</v>
      </c>
      <c r="BF108" s="1" t="s">
        <v>0</v>
      </c>
    </row>
    <row r="109" spans="1:58" x14ac:dyDescent="0.25">
      <c r="A109" s="1" t="s">
        <v>1553</v>
      </c>
      <c r="B109" s="1" t="s">
        <v>1552</v>
      </c>
      <c r="C109" s="1" t="s">
        <v>1554</v>
      </c>
      <c r="D109" s="1">
        <v>2025</v>
      </c>
      <c r="E109" s="1" t="b">
        <v>0</v>
      </c>
      <c r="F109" s="1" t="s">
        <v>1381</v>
      </c>
      <c r="G109" s="1" t="s">
        <v>1380</v>
      </c>
      <c r="H109" s="1" t="s">
        <v>22</v>
      </c>
      <c r="I109" s="1" t="s">
        <v>21</v>
      </c>
      <c r="J109" s="1" t="s">
        <v>20</v>
      </c>
      <c r="K109" s="1">
        <v>2567</v>
      </c>
      <c r="L109" s="1">
        <v>2565</v>
      </c>
      <c r="M109" s="1" t="s">
        <v>18</v>
      </c>
      <c r="N109" s="1" t="s">
        <v>1555</v>
      </c>
      <c r="O109" s="1" t="s">
        <v>42</v>
      </c>
      <c r="P109" s="1" t="s">
        <v>15</v>
      </c>
      <c r="Q109" s="1" t="s">
        <v>1526</v>
      </c>
      <c r="R109" s="1" t="s">
        <v>2</v>
      </c>
      <c r="S109" s="1" t="s">
        <v>21</v>
      </c>
      <c r="T109" s="1">
        <v>1</v>
      </c>
      <c r="U109" s="1" t="s">
        <v>14</v>
      </c>
      <c r="V109" s="1" t="s">
        <v>53</v>
      </c>
      <c r="W109" s="1">
        <v>1</v>
      </c>
      <c r="X109" s="1">
        <v>676</v>
      </c>
      <c r="Y109" s="1">
        <v>0.26355000000000001</v>
      </c>
      <c r="Z109" s="1" t="s">
        <v>80</v>
      </c>
      <c r="AA109" s="1" t="s">
        <v>1558</v>
      </c>
      <c r="AB109" s="1" t="s">
        <v>1559</v>
      </c>
      <c r="AC109" s="1" t="s">
        <v>14</v>
      </c>
      <c r="AD109" s="1" t="s">
        <v>53</v>
      </c>
      <c r="AE109" s="1" t="s">
        <v>8</v>
      </c>
      <c r="AF109" s="1">
        <v>1341</v>
      </c>
      <c r="AG109" s="1">
        <v>0.52281</v>
      </c>
      <c r="AH109" s="1" t="s">
        <v>26</v>
      </c>
      <c r="AI109" s="1" t="s">
        <v>36</v>
      </c>
      <c r="AJ109" s="1" t="s">
        <v>56</v>
      </c>
      <c r="AK109" s="1"/>
      <c r="AL109" s="1"/>
      <c r="AM109" s="1"/>
      <c r="AN109" s="1"/>
      <c r="AO109" s="1"/>
      <c r="AP109" s="1"/>
      <c r="AQ109" s="1" t="s">
        <v>2</v>
      </c>
      <c r="AR109" s="1" t="s">
        <v>1</v>
      </c>
      <c r="AS109" s="1">
        <v>1.1499999999999999</v>
      </c>
      <c r="AT109" s="1">
        <v>0.97</v>
      </c>
      <c r="AU109" s="1">
        <v>1.37</v>
      </c>
      <c r="AV109" s="1" t="s">
        <v>1</v>
      </c>
      <c r="AW109" s="1">
        <v>1.1499999999999999</v>
      </c>
      <c r="AX109" s="1">
        <v>0.97</v>
      </c>
      <c r="AY109" s="1">
        <v>1.37</v>
      </c>
      <c r="AZ109" s="1">
        <v>0.115</v>
      </c>
      <c r="BA109" s="1" t="s">
        <v>0</v>
      </c>
      <c r="BB109" s="1"/>
      <c r="BC109" s="1"/>
      <c r="BD109" s="1"/>
      <c r="BE109" s="1"/>
      <c r="BF109" s="1" t="s">
        <v>0</v>
      </c>
    </row>
    <row r="110" spans="1:58" x14ac:dyDescent="0.25">
      <c r="A110" s="1" t="s">
        <v>1553</v>
      </c>
      <c r="B110" s="1" t="s">
        <v>1552</v>
      </c>
      <c r="C110" s="1" t="s">
        <v>1554</v>
      </c>
      <c r="D110" s="1">
        <v>2025</v>
      </c>
      <c r="E110" s="1" t="b">
        <v>0</v>
      </c>
      <c r="F110" s="1" t="s">
        <v>1381</v>
      </c>
      <c r="G110" s="1" t="s">
        <v>1380</v>
      </c>
      <c r="H110" s="1" t="s">
        <v>22</v>
      </c>
      <c r="I110" s="1" t="s">
        <v>21</v>
      </c>
      <c r="J110" s="1" t="s">
        <v>20</v>
      </c>
      <c r="K110" s="1">
        <v>2567</v>
      </c>
      <c r="L110" s="1">
        <v>2565</v>
      </c>
      <c r="M110" s="1" t="s">
        <v>18</v>
      </c>
      <c r="N110" s="1" t="s">
        <v>1555</v>
      </c>
      <c r="O110" s="1" t="s">
        <v>42</v>
      </c>
      <c r="P110" s="1" t="s">
        <v>15</v>
      </c>
      <c r="Q110" s="1" t="s">
        <v>1526</v>
      </c>
      <c r="R110" s="1" t="s">
        <v>2</v>
      </c>
      <c r="S110" s="1" t="s">
        <v>21</v>
      </c>
      <c r="T110" s="1">
        <v>1</v>
      </c>
      <c r="U110" s="1" t="s">
        <v>14</v>
      </c>
      <c r="V110" s="1" t="s">
        <v>53</v>
      </c>
      <c r="W110" s="1">
        <v>1</v>
      </c>
      <c r="X110" s="1">
        <v>676</v>
      </c>
      <c r="Y110" s="1">
        <v>0.26355000000000001</v>
      </c>
      <c r="Z110" s="1" t="s">
        <v>11</v>
      </c>
      <c r="AA110" s="1" t="s">
        <v>1561</v>
      </c>
      <c r="AB110" s="1" t="s">
        <v>1562</v>
      </c>
      <c r="AC110" s="1" t="s">
        <v>14</v>
      </c>
      <c r="AD110" s="1" t="s">
        <v>53</v>
      </c>
      <c r="AE110" s="1" t="s">
        <v>8</v>
      </c>
      <c r="AF110" s="1">
        <v>975</v>
      </c>
      <c r="AG110" s="1">
        <v>0.38011695906432746</v>
      </c>
      <c r="AH110" s="1" t="s">
        <v>26</v>
      </c>
      <c r="AI110" s="1" t="s">
        <v>36</v>
      </c>
      <c r="AJ110" s="1" t="s">
        <v>56</v>
      </c>
      <c r="AK110" s="1"/>
      <c r="AL110" s="1"/>
      <c r="AM110" s="1"/>
      <c r="AN110" s="1"/>
      <c r="AO110" s="1"/>
      <c r="AP110" s="1"/>
      <c r="AQ110" s="1" t="s">
        <v>2</v>
      </c>
      <c r="AR110" s="1" t="s">
        <v>1</v>
      </c>
      <c r="AS110" s="1">
        <v>1</v>
      </c>
      <c r="AT110" s="1">
        <v>0.83</v>
      </c>
      <c r="AU110" s="1">
        <v>1.2</v>
      </c>
      <c r="AV110" s="1" t="s">
        <v>1</v>
      </c>
      <c r="AW110" s="1">
        <v>1</v>
      </c>
      <c r="AX110" s="1">
        <v>0.83</v>
      </c>
      <c r="AY110" s="1">
        <v>1.2</v>
      </c>
      <c r="AZ110" s="1">
        <v>0.997</v>
      </c>
      <c r="BA110" s="1" t="s">
        <v>0</v>
      </c>
      <c r="BB110" s="1"/>
      <c r="BC110" s="1"/>
      <c r="BD110" s="1"/>
      <c r="BE110" s="1"/>
      <c r="BF110" s="1" t="s">
        <v>0</v>
      </c>
    </row>
    <row r="111" spans="1:58" x14ac:dyDescent="0.25">
      <c r="A111" s="1" t="s">
        <v>1553</v>
      </c>
      <c r="B111" s="1" t="s">
        <v>1552</v>
      </c>
      <c r="C111" s="1" t="s">
        <v>1554</v>
      </c>
      <c r="D111" s="1">
        <v>2025</v>
      </c>
      <c r="E111" s="1" t="b">
        <v>0</v>
      </c>
      <c r="F111" s="1" t="s">
        <v>1381</v>
      </c>
      <c r="G111" s="1" t="s">
        <v>1380</v>
      </c>
      <c r="H111" s="1" t="s">
        <v>22</v>
      </c>
      <c r="I111" s="1" t="s">
        <v>21</v>
      </c>
      <c r="J111" s="1" t="s">
        <v>20</v>
      </c>
      <c r="K111" s="1">
        <v>2567</v>
      </c>
      <c r="L111" s="1">
        <v>2565</v>
      </c>
      <c r="M111" s="1" t="s">
        <v>18</v>
      </c>
      <c r="N111" s="1" t="s">
        <v>1555</v>
      </c>
      <c r="O111" s="1" t="s">
        <v>42</v>
      </c>
      <c r="P111" s="1" t="s">
        <v>15</v>
      </c>
      <c r="Q111" s="1" t="s">
        <v>1526</v>
      </c>
      <c r="R111" s="1" t="s">
        <v>2</v>
      </c>
      <c r="S111" s="1" t="s">
        <v>21</v>
      </c>
      <c r="T111" s="1">
        <v>1</v>
      </c>
      <c r="U111" s="1" t="s">
        <v>14</v>
      </c>
      <c r="V111" s="1" t="s">
        <v>53</v>
      </c>
      <c r="W111" s="1">
        <v>1</v>
      </c>
      <c r="X111" s="1">
        <v>676</v>
      </c>
      <c r="Y111" s="1">
        <v>0.26355000000000001</v>
      </c>
      <c r="Z111" s="1" t="s">
        <v>1563</v>
      </c>
      <c r="AA111" s="1" t="s">
        <v>1564</v>
      </c>
      <c r="AB111" s="1" t="s">
        <v>1564</v>
      </c>
      <c r="AC111" s="1" t="s">
        <v>14</v>
      </c>
      <c r="AD111" s="1" t="s">
        <v>53</v>
      </c>
      <c r="AE111" s="1" t="s">
        <v>8</v>
      </c>
      <c r="AF111" s="1">
        <v>633</v>
      </c>
      <c r="AG111" s="1">
        <v>0.24678362573099416</v>
      </c>
      <c r="AH111" s="1" t="s">
        <v>26</v>
      </c>
      <c r="AI111" s="1" t="s">
        <v>36</v>
      </c>
      <c r="AJ111" s="1" t="s">
        <v>56</v>
      </c>
      <c r="AK111" s="1"/>
      <c r="AL111" s="1"/>
      <c r="AM111" s="1"/>
      <c r="AN111" s="1"/>
      <c r="AO111" s="1"/>
      <c r="AP111" s="1"/>
      <c r="AQ111" s="1" t="s">
        <v>2</v>
      </c>
      <c r="AR111" s="1" t="s">
        <v>1</v>
      </c>
      <c r="AS111" s="1">
        <v>0.89</v>
      </c>
      <c r="AT111" s="1">
        <v>0.72</v>
      </c>
      <c r="AU111" s="1">
        <v>1.0900000000000001</v>
      </c>
      <c r="AV111" s="1" t="s">
        <v>1</v>
      </c>
      <c r="AW111" s="1">
        <v>0.89</v>
      </c>
      <c r="AX111" s="1">
        <v>0.72</v>
      </c>
      <c r="AY111" s="1">
        <v>1.0900000000000001</v>
      </c>
      <c r="AZ111" s="1">
        <v>0.26100000000000001</v>
      </c>
      <c r="BA111" s="1" t="s">
        <v>0</v>
      </c>
      <c r="BB111" s="1"/>
      <c r="BC111" s="1"/>
      <c r="BD111" s="1"/>
      <c r="BE111" s="1"/>
      <c r="BF111" s="1" t="s">
        <v>0</v>
      </c>
    </row>
    <row r="112" spans="1:58" x14ac:dyDescent="0.25">
      <c r="A112" s="1" t="s">
        <v>711</v>
      </c>
      <c r="B112" s="1" t="s">
        <v>712</v>
      </c>
      <c r="C112" s="1" t="s">
        <v>713</v>
      </c>
      <c r="D112" s="1">
        <v>2017</v>
      </c>
      <c r="E112" s="1" t="b">
        <v>0</v>
      </c>
      <c r="F112" s="1" t="s">
        <v>1380</v>
      </c>
      <c r="G112" s="1" t="s">
        <v>1380</v>
      </c>
      <c r="H112" s="1" t="s">
        <v>22</v>
      </c>
      <c r="I112" s="1" t="s">
        <v>21</v>
      </c>
      <c r="J112" s="1" t="s">
        <v>20</v>
      </c>
      <c r="K112" s="1" t="s">
        <v>714</v>
      </c>
      <c r="L112" s="1">
        <v>453</v>
      </c>
      <c r="M112" s="1" t="s">
        <v>18</v>
      </c>
      <c r="N112" s="1" t="s">
        <v>715</v>
      </c>
      <c r="O112" s="1" t="s">
        <v>716</v>
      </c>
      <c r="P112" s="1" t="s">
        <v>15</v>
      </c>
      <c r="Q112" s="1" t="s">
        <v>1526</v>
      </c>
      <c r="R112" s="1" t="s">
        <v>2</v>
      </c>
      <c r="S112" s="1" t="s">
        <v>21</v>
      </c>
      <c r="T112" s="1">
        <v>1</v>
      </c>
      <c r="U112" s="1" t="s">
        <v>41</v>
      </c>
      <c r="V112" s="1" t="s">
        <v>53</v>
      </c>
      <c r="W112" s="1" t="s">
        <v>13</v>
      </c>
      <c r="X112" s="1" t="s">
        <v>717</v>
      </c>
      <c r="Y112" s="1" t="s">
        <v>718</v>
      </c>
      <c r="Z112" s="1" t="s">
        <v>80</v>
      </c>
      <c r="AA112" s="1" t="s">
        <v>722</v>
      </c>
      <c r="AB112" s="1" t="s">
        <v>113</v>
      </c>
      <c r="AC112" s="1" t="s">
        <v>9</v>
      </c>
      <c r="AD112" s="1" t="s">
        <v>9</v>
      </c>
      <c r="AE112" s="1" t="s">
        <v>8</v>
      </c>
      <c r="AF112" s="1">
        <v>240</v>
      </c>
      <c r="AG112" s="1">
        <f>Table1[[#This Row],[exposed_num]]/453</f>
        <v>0.5298013245033113</v>
      </c>
      <c r="AH112" s="1" t="s">
        <v>6</v>
      </c>
      <c r="AI112" s="1" t="s">
        <v>36</v>
      </c>
      <c r="AJ112" s="1" t="s">
        <v>720</v>
      </c>
      <c r="AK112" s="1"/>
      <c r="AL112" s="1"/>
      <c r="AM112" s="1"/>
      <c r="AN112" s="1"/>
      <c r="AO112" s="1"/>
      <c r="AP112" s="1"/>
      <c r="AQ112" s="1" t="s">
        <v>2</v>
      </c>
      <c r="AR112" s="1" t="s">
        <v>1</v>
      </c>
      <c r="AS112" s="1">
        <v>1.83</v>
      </c>
      <c r="AT112" s="1">
        <v>1</v>
      </c>
      <c r="AU112" s="1">
        <v>3.41</v>
      </c>
      <c r="AV112" s="1" t="s">
        <v>1</v>
      </c>
      <c r="AW112" s="1">
        <v>1.83</v>
      </c>
      <c r="AX112" s="1">
        <v>1</v>
      </c>
      <c r="AY112" s="1">
        <v>3.41</v>
      </c>
      <c r="AZ112" s="1" t="s">
        <v>0</v>
      </c>
      <c r="BA112" s="1" t="s">
        <v>0</v>
      </c>
      <c r="BB112" s="1"/>
      <c r="BC112" s="1"/>
      <c r="BD112" s="1"/>
      <c r="BE112" s="1" t="s">
        <v>0</v>
      </c>
      <c r="BF112" s="1" t="s">
        <v>0</v>
      </c>
    </row>
    <row r="113" spans="1:58" x14ac:dyDescent="0.25">
      <c r="A113" s="1" t="s">
        <v>711</v>
      </c>
      <c r="B113" s="1" t="s">
        <v>712</v>
      </c>
      <c r="C113" s="1" t="s">
        <v>713</v>
      </c>
      <c r="D113" s="1">
        <v>2017</v>
      </c>
      <c r="E113" s="1" t="b">
        <v>0</v>
      </c>
      <c r="F113" s="1" t="s">
        <v>1380</v>
      </c>
      <c r="G113" s="1" t="s">
        <v>1380</v>
      </c>
      <c r="H113" s="1" t="s">
        <v>22</v>
      </c>
      <c r="I113" s="1" t="s">
        <v>21</v>
      </c>
      <c r="J113" s="1" t="s">
        <v>20</v>
      </c>
      <c r="K113" s="1" t="s">
        <v>714</v>
      </c>
      <c r="L113" s="1">
        <v>453</v>
      </c>
      <c r="M113" s="1" t="s">
        <v>18</v>
      </c>
      <c r="N113" s="1" t="s">
        <v>715</v>
      </c>
      <c r="O113" s="1" t="s">
        <v>716</v>
      </c>
      <c r="P113" s="1" t="s">
        <v>15</v>
      </c>
      <c r="Q113" s="1" t="s">
        <v>1526</v>
      </c>
      <c r="R113" s="1" t="s">
        <v>2</v>
      </c>
      <c r="S113" s="1" t="s">
        <v>21</v>
      </c>
      <c r="T113" s="1">
        <v>1</v>
      </c>
      <c r="U113" s="1" t="s">
        <v>41</v>
      </c>
      <c r="V113" s="1" t="s">
        <v>53</v>
      </c>
      <c r="W113" s="1" t="s">
        <v>13</v>
      </c>
      <c r="X113" s="1" t="s">
        <v>717</v>
      </c>
      <c r="Y113" s="1" t="s">
        <v>718</v>
      </c>
      <c r="Z113" s="1" t="s">
        <v>11</v>
      </c>
      <c r="AA113" s="1" t="s">
        <v>719</v>
      </c>
      <c r="AB113" s="1" t="s">
        <v>541</v>
      </c>
      <c r="AC113" s="1" t="s">
        <v>9</v>
      </c>
      <c r="AD113" s="1" t="s">
        <v>9</v>
      </c>
      <c r="AE113" s="1" t="s">
        <v>8</v>
      </c>
      <c r="AF113" s="1">
        <v>195</v>
      </c>
      <c r="AG113" s="1">
        <f>Table1[[#This Row],[exposed_num]]/453</f>
        <v>0.43046357615894038</v>
      </c>
      <c r="AH113" s="1" t="s">
        <v>6</v>
      </c>
      <c r="AI113" s="1" t="s">
        <v>36</v>
      </c>
      <c r="AJ113" s="1" t="s">
        <v>720</v>
      </c>
      <c r="AK113" s="1"/>
      <c r="AL113" s="1"/>
      <c r="AM113" s="1"/>
      <c r="AN113" s="1"/>
      <c r="AO113" s="1"/>
      <c r="AP113" s="1"/>
      <c r="AQ113" s="1" t="s">
        <v>2</v>
      </c>
      <c r="AR113" s="1" t="s">
        <v>1</v>
      </c>
      <c r="AS113" s="1">
        <v>0.99</v>
      </c>
      <c r="AT113" s="1">
        <v>0.54</v>
      </c>
      <c r="AU113" s="1">
        <v>1.8</v>
      </c>
      <c r="AV113" s="1" t="s">
        <v>1</v>
      </c>
      <c r="AW113" s="1">
        <v>0.99</v>
      </c>
      <c r="AX113" s="1">
        <v>0.54</v>
      </c>
      <c r="AY113" s="1">
        <v>1.8</v>
      </c>
      <c r="AZ113" s="1" t="s">
        <v>0</v>
      </c>
      <c r="BA113" s="1" t="s">
        <v>0</v>
      </c>
      <c r="BB113" s="1"/>
      <c r="BC113" s="1"/>
      <c r="BD113" s="1"/>
      <c r="BE113" s="1" t="s">
        <v>0</v>
      </c>
      <c r="BF113" s="1" t="s">
        <v>0</v>
      </c>
    </row>
    <row r="114" spans="1:58" x14ac:dyDescent="0.25">
      <c r="A114" s="1" t="s">
        <v>711</v>
      </c>
      <c r="B114" s="1" t="s">
        <v>712</v>
      </c>
      <c r="C114" s="1" t="s">
        <v>713</v>
      </c>
      <c r="D114" s="1">
        <v>2017</v>
      </c>
      <c r="E114" s="1" t="b">
        <v>0</v>
      </c>
      <c r="F114" s="1" t="s">
        <v>1380</v>
      </c>
      <c r="G114" s="1" t="s">
        <v>1380</v>
      </c>
      <c r="H114" s="1" t="s">
        <v>22</v>
      </c>
      <c r="I114" s="1" t="s">
        <v>21</v>
      </c>
      <c r="J114" s="1" t="s">
        <v>20</v>
      </c>
      <c r="K114" s="1" t="s">
        <v>714</v>
      </c>
      <c r="L114" s="1">
        <v>462</v>
      </c>
      <c r="M114" s="1" t="s">
        <v>18</v>
      </c>
      <c r="N114" s="1" t="s">
        <v>715</v>
      </c>
      <c r="O114" s="1" t="s">
        <v>716</v>
      </c>
      <c r="P114" s="1" t="s">
        <v>15</v>
      </c>
      <c r="Q114" s="1" t="s">
        <v>1526</v>
      </c>
      <c r="R114" s="1" t="s">
        <v>2</v>
      </c>
      <c r="S114" s="1" t="s">
        <v>21</v>
      </c>
      <c r="T114" s="1">
        <v>1</v>
      </c>
      <c r="U114" s="1" t="s">
        <v>41</v>
      </c>
      <c r="V114" s="1" t="s">
        <v>53</v>
      </c>
      <c r="W114" s="1" t="s">
        <v>13</v>
      </c>
      <c r="X114" s="1" t="s">
        <v>717</v>
      </c>
      <c r="Y114" s="1" t="s">
        <v>718</v>
      </c>
      <c r="Z114" s="1" t="s">
        <v>80</v>
      </c>
      <c r="AA114" s="1" t="s">
        <v>722</v>
      </c>
      <c r="AB114" s="1" t="s">
        <v>113</v>
      </c>
      <c r="AC114" s="1" t="s">
        <v>9</v>
      </c>
      <c r="AD114" s="1" t="s">
        <v>9</v>
      </c>
      <c r="AE114" s="1" t="s">
        <v>8</v>
      </c>
      <c r="AF114" s="1">
        <v>247</v>
      </c>
      <c r="AG114" s="1">
        <f>Table1[[#This Row],[exposed_num]]/462</f>
        <v>0.53463203463203468</v>
      </c>
      <c r="AH114" s="1" t="s">
        <v>26</v>
      </c>
      <c r="AI114" s="1" t="s">
        <v>56</v>
      </c>
      <c r="AJ114" s="1" t="s">
        <v>724</v>
      </c>
      <c r="AK114" s="1"/>
      <c r="AL114" s="1"/>
      <c r="AM114" s="1"/>
      <c r="AN114" s="1"/>
      <c r="AO114" s="1" t="s">
        <v>9</v>
      </c>
      <c r="AP114" s="1" t="s">
        <v>9</v>
      </c>
      <c r="AQ114" s="1" t="s">
        <v>2</v>
      </c>
      <c r="AR114" s="1" t="s">
        <v>1</v>
      </c>
      <c r="AS114" s="1">
        <v>1.02</v>
      </c>
      <c r="AT114" s="1">
        <v>0.54</v>
      </c>
      <c r="AU114" s="1">
        <v>1.65</v>
      </c>
      <c r="AV114" s="1" t="s">
        <v>1</v>
      </c>
      <c r="AW114" s="1">
        <v>1.02</v>
      </c>
      <c r="AX114" s="1">
        <v>0.54</v>
      </c>
      <c r="AY114" s="1">
        <v>1.65</v>
      </c>
      <c r="AZ114" s="1" t="s">
        <v>0</v>
      </c>
      <c r="BA114" s="1" t="s">
        <v>0</v>
      </c>
      <c r="BB114" s="1"/>
      <c r="BC114" s="1"/>
      <c r="BD114" s="1"/>
      <c r="BE114" s="1" t="s">
        <v>0</v>
      </c>
      <c r="BF114" s="1" t="s">
        <v>0</v>
      </c>
    </row>
    <row r="115" spans="1:58" x14ac:dyDescent="0.25">
      <c r="A115" s="1" t="s">
        <v>711</v>
      </c>
      <c r="B115" s="1" t="s">
        <v>712</v>
      </c>
      <c r="C115" s="1" t="s">
        <v>713</v>
      </c>
      <c r="D115" s="1">
        <v>2017</v>
      </c>
      <c r="E115" s="1" t="b">
        <v>0</v>
      </c>
      <c r="F115" s="1" t="s">
        <v>1380</v>
      </c>
      <c r="G115" s="1" t="s">
        <v>1380</v>
      </c>
      <c r="H115" s="1" t="s">
        <v>22</v>
      </c>
      <c r="I115" s="1" t="s">
        <v>21</v>
      </c>
      <c r="J115" s="1" t="s">
        <v>20</v>
      </c>
      <c r="K115" s="1" t="s">
        <v>714</v>
      </c>
      <c r="L115" s="1">
        <v>462</v>
      </c>
      <c r="M115" s="1" t="s">
        <v>18</v>
      </c>
      <c r="N115" s="1" t="s">
        <v>715</v>
      </c>
      <c r="O115" s="1" t="s">
        <v>716</v>
      </c>
      <c r="P115" s="1" t="s">
        <v>15</v>
      </c>
      <c r="Q115" s="1" t="s">
        <v>1526</v>
      </c>
      <c r="R115" s="1" t="s">
        <v>2</v>
      </c>
      <c r="S115" s="1" t="s">
        <v>21</v>
      </c>
      <c r="T115" s="1">
        <v>1</v>
      </c>
      <c r="U115" s="1" t="s">
        <v>41</v>
      </c>
      <c r="V115" s="1" t="s">
        <v>53</v>
      </c>
      <c r="W115" s="1" t="s">
        <v>13</v>
      </c>
      <c r="X115" s="1" t="s">
        <v>717</v>
      </c>
      <c r="Y115" s="1" t="s">
        <v>718</v>
      </c>
      <c r="Z115" s="1" t="s">
        <v>11</v>
      </c>
      <c r="AA115" s="1" t="s">
        <v>719</v>
      </c>
      <c r="AB115" s="1" t="s">
        <v>541</v>
      </c>
      <c r="AC115" s="1" t="s">
        <v>9</v>
      </c>
      <c r="AD115" s="1" t="s">
        <v>9</v>
      </c>
      <c r="AE115" s="1" t="s">
        <v>8</v>
      </c>
      <c r="AF115" s="1">
        <v>200</v>
      </c>
      <c r="AG115" s="1">
        <f>Table1[[#This Row],[exposed_num]]/462</f>
        <v>0.4329004329004329</v>
      </c>
      <c r="AH115" s="1" t="s">
        <v>26</v>
      </c>
      <c r="AI115" s="1" t="s">
        <v>56</v>
      </c>
      <c r="AJ115" s="1" t="s">
        <v>721</v>
      </c>
      <c r="AK115" s="1"/>
      <c r="AL115" s="1"/>
      <c r="AM115" s="1"/>
      <c r="AN115" s="1"/>
      <c r="AO115" s="1" t="s">
        <v>9</v>
      </c>
      <c r="AP115" s="1" t="s">
        <v>9</v>
      </c>
      <c r="AQ115" s="1" t="s">
        <v>2</v>
      </c>
      <c r="AR115" s="1" t="s">
        <v>1</v>
      </c>
      <c r="AS115" s="1">
        <v>1.27</v>
      </c>
      <c r="AT115" s="1">
        <v>0.78</v>
      </c>
      <c r="AU115" s="1">
        <v>2.06</v>
      </c>
      <c r="AV115" s="1" t="s">
        <v>1</v>
      </c>
      <c r="AW115" s="1">
        <v>1.27</v>
      </c>
      <c r="AX115" s="1">
        <v>0.78</v>
      </c>
      <c r="AY115" s="1">
        <v>2.06</v>
      </c>
      <c r="AZ115" s="1" t="s">
        <v>0</v>
      </c>
      <c r="BA115" s="1" t="s">
        <v>0</v>
      </c>
      <c r="BB115" s="1"/>
      <c r="BC115" s="1"/>
      <c r="BD115" s="1"/>
      <c r="BE115" s="1" t="s">
        <v>0</v>
      </c>
      <c r="BF115" s="1" t="s">
        <v>0</v>
      </c>
    </row>
    <row r="116" spans="1:58" x14ac:dyDescent="0.25">
      <c r="A116" s="1" t="s">
        <v>727</v>
      </c>
      <c r="B116" s="1" t="s">
        <v>728</v>
      </c>
      <c r="C116" s="1" t="s">
        <v>713</v>
      </c>
      <c r="D116" s="1">
        <v>2020</v>
      </c>
      <c r="E116" s="1" t="b">
        <v>0</v>
      </c>
      <c r="F116" s="1" t="s">
        <v>1381</v>
      </c>
      <c r="G116" s="1" t="s">
        <v>1380</v>
      </c>
      <c r="H116" s="1" t="s">
        <v>22</v>
      </c>
      <c r="I116" s="1" t="s">
        <v>21</v>
      </c>
      <c r="J116" s="1" t="s">
        <v>20</v>
      </c>
      <c r="K116" s="1" t="s">
        <v>729</v>
      </c>
      <c r="L116" s="1" t="s">
        <v>729</v>
      </c>
      <c r="M116" s="1" t="s">
        <v>18</v>
      </c>
      <c r="N116" s="1" t="s">
        <v>730</v>
      </c>
      <c r="O116" s="1" t="s">
        <v>42</v>
      </c>
      <c r="P116" s="1" t="s">
        <v>15</v>
      </c>
      <c r="Q116" s="1" t="s">
        <v>1526</v>
      </c>
      <c r="R116" s="1" t="s">
        <v>35</v>
      </c>
      <c r="S116" s="1" t="s">
        <v>21</v>
      </c>
      <c r="T116" s="1">
        <v>2</v>
      </c>
      <c r="U116" s="1" t="s">
        <v>41</v>
      </c>
      <c r="V116" s="1" t="s">
        <v>53</v>
      </c>
      <c r="W116" s="1" t="s">
        <v>13</v>
      </c>
      <c r="X116" s="1" t="s">
        <v>731</v>
      </c>
      <c r="Y116" s="1" t="s">
        <v>732</v>
      </c>
      <c r="Z116" s="1" t="s">
        <v>80</v>
      </c>
      <c r="AA116" s="1" t="s">
        <v>737</v>
      </c>
      <c r="AB116" s="1" t="s">
        <v>80</v>
      </c>
      <c r="AC116" s="1" t="s">
        <v>9</v>
      </c>
      <c r="AD116" s="1" t="s">
        <v>9</v>
      </c>
      <c r="AE116" s="1" t="s">
        <v>8</v>
      </c>
      <c r="AF116" s="1" t="s">
        <v>738</v>
      </c>
      <c r="AG116" s="1" t="s">
        <v>739</v>
      </c>
      <c r="AH116" s="1" t="s">
        <v>26</v>
      </c>
      <c r="AI116" s="1" t="s">
        <v>36</v>
      </c>
      <c r="AJ116" s="1" t="s">
        <v>213</v>
      </c>
      <c r="AK116" s="1"/>
      <c r="AL116" s="1"/>
      <c r="AM116" s="1"/>
      <c r="AN116" s="1"/>
      <c r="AO116" s="1"/>
      <c r="AP116" s="1"/>
      <c r="AQ116" s="1" t="s">
        <v>35</v>
      </c>
      <c r="AR116" s="1" t="s">
        <v>1</v>
      </c>
      <c r="AS116" s="1">
        <v>1.23</v>
      </c>
      <c r="AT116" s="1">
        <v>1.02</v>
      </c>
      <c r="AU116" s="1">
        <v>1.49</v>
      </c>
      <c r="AV116" s="1" t="s">
        <v>1</v>
      </c>
      <c r="AW116" s="1">
        <v>1.58</v>
      </c>
      <c r="AX116" s="1">
        <v>1.42</v>
      </c>
      <c r="AY116" s="1">
        <v>1.76</v>
      </c>
      <c r="AZ116" s="1" t="s">
        <v>60</v>
      </c>
      <c r="BA116" s="1" t="s">
        <v>1</v>
      </c>
      <c r="BB116" s="1">
        <v>1.23</v>
      </c>
      <c r="BC116" s="1">
        <v>1.02</v>
      </c>
      <c r="BD116" s="1">
        <v>1.49</v>
      </c>
      <c r="BE116" s="1">
        <v>2.9000000000000001E-2</v>
      </c>
      <c r="BF116" s="1" t="s">
        <v>736</v>
      </c>
    </row>
    <row r="117" spans="1:58" x14ac:dyDescent="0.25">
      <c r="A117" s="1" t="s">
        <v>727</v>
      </c>
      <c r="B117" s="1" t="s">
        <v>728</v>
      </c>
      <c r="C117" s="1" t="s">
        <v>713</v>
      </c>
      <c r="D117" s="1">
        <v>2020</v>
      </c>
      <c r="E117" s="1" t="b">
        <v>0</v>
      </c>
      <c r="F117" s="1" t="s">
        <v>1381</v>
      </c>
      <c r="G117" s="1" t="s">
        <v>1380</v>
      </c>
      <c r="H117" s="1" t="s">
        <v>22</v>
      </c>
      <c r="I117" s="1" t="s">
        <v>21</v>
      </c>
      <c r="J117" s="1" t="s">
        <v>20</v>
      </c>
      <c r="K117" s="1" t="s">
        <v>729</v>
      </c>
      <c r="L117" s="1" t="s">
        <v>729</v>
      </c>
      <c r="M117" s="1" t="s">
        <v>18</v>
      </c>
      <c r="N117" s="1" t="s">
        <v>730</v>
      </c>
      <c r="O117" s="1" t="s">
        <v>42</v>
      </c>
      <c r="P117" s="1" t="s">
        <v>15</v>
      </c>
      <c r="Q117" s="1" t="s">
        <v>1526</v>
      </c>
      <c r="R117" s="1" t="s">
        <v>35</v>
      </c>
      <c r="S117" s="1" t="s">
        <v>21</v>
      </c>
      <c r="T117" s="1">
        <v>2</v>
      </c>
      <c r="U117" s="1" t="s">
        <v>41</v>
      </c>
      <c r="V117" s="1" t="s">
        <v>53</v>
      </c>
      <c r="W117" s="1" t="s">
        <v>13</v>
      </c>
      <c r="X117" s="1" t="s">
        <v>731</v>
      </c>
      <c r="Y117" s="1" t="s">
        <v>732</v>
      </c>
      <c r="Z117" s="1" t="s">
        <v>11</v>
      </c>
      <c r="AA117" s="1" t="s">
        <v>733</v>
      </c>
      <c r="AB117" s="1" t="s">
        <v>541</v>
      </c>
      <c r="AC117" s="1" t="s">
        <v>9</v>
      </c>
      <c r="AD117" s="1" t="s">
        <v>9</v>
      </c>
      <c r="AE117" s="1" t="s">
        <v>8</v>
      </c>
      <c r="AF117" s="1" t="s">
        <v>734</v>
      </c>
      <c r="AG117" s="1" t="s">
        <v>735</v>
      </c>
      <c r="AH117" s="1" t="s">
        <v>26</v>
      </c>
      <c r="AI117" s="1" t="s">
        <v>36</v>
      </c>
      <c r="AJ117" s="1" t="s">
        <v>213</v>
      </c>
      <c r="AK117" s="1"/>
      <c r="AL117" s="1"/>
      <c r="AM117" s="1"/>
      <c r="AN117" s="1"/>
      <c r="AO117" s="1"/>
      <c r="AP117" s="1"/>
      <c r="AQ117" s="1" t="s">
        <v>35</v>
      </c>
      <c r="AR117" s="1" t="s">
        <v>1</v>
      </c>
      <c r="AS117" s="1">
        <v>1.32</v>
      </c>
      <c r="AT117" s="1">
        <v>1.1299999999999999</v>
      </c>
      <c r="AU117" s="1">
        <v>1.54</v>
      </c>
      <c r="AV117" s="1" t="s">
        <v>1</v>
      </c>
      <c r="AW117" s="1">
        <v>1.29</v>
      </c>
      <c r="AX117" s="1">
        <v>1.1599999999999999</v>
      </c>
      <c r="AY117" s="1">
        <v>1.44</v>
      </c>
      <c r="AZ117" s="1" t="s">
        <v>60</v>
      </c>
      <c r="BA117" s="1" t="s">
        <v>1</v>
      </c>
      <c r="BB117" s="1">
        <v>1.32</v>
      </c>
      <c r="BC117" s="1">
        <v>1.1299999999999999</v>
      </c>
      <c r="BD117" s="1">
        <v>1.54</v>
      </c>
      <c r="BE117" s="1" t="s">
        <v>60</v>
      </c>
      <c r="BF117" s="1" t="s">
        <v>736</v>
      </c>
    </row>
    <row r="118" spans="1:58" x14ac:dyDescent="0.25">
      <c r="A118" s="1" t="s">
        <v>740</v>
      </c>
      <c r="B118" s="1" t="s">
        <v>741</v>
      </c>
      <c r="C118" s="1" t="s">
        <v>742</v>
      </c>
      <c r="D118" s="1">
        <v>2023</v>
      </c>
      <c r="E118" s="1" t="b">
        <v>0</v>
      </c>
      <c r="F118" s="1" t="s">
        <v>1381</v>
      </c>
      <c r="G118" s="1" t="s">
        <v>1380</v>
      </c>
      <c r="H118" s="1" t="s">
        <v>22</v>
      </c>
      <c r="I118" s="1" t="s">
        <v>21</v>
      </c>
      <c r="J118" s="1" t="s">
        <v>20</v>
      </c>
      <c r="K118" s="1">
        <v>311</v>
      </c>
      <c r="L118" s="1" t="s">
        <v>743</v>
      </c>
      <c r="M118" s="1" t="s">
        <v>148</v>
      </c>
      <c r="N118" s="1" t="s">
        <v>200</v>
      </c>
      <c r="O118" s="1" t="s">
        <v>744</v>
      </c>
      <c r="P118" s="1" t="s">
        <v>133</v>
      </c>
      <c r="Q118" s="1" t="s">
        <v>1527</v>
      </c>
      <c r="R118" s="1" t="s">
        <v>35</v>
      </c>
      <c r="S118" s="1" t="s">
        <v>21</v>
      </c>
      <c r="T118" s="1">
        <v>1</v>
      </c>
      <c r="U118" s="1" t="s">
        <v>145</v>
      </c>
      <c r="V118" s="1" t="s">
        <v>53</v>
      </c>
      <c r="W118" s="1" t="s">
        <v>13</v>
      </c>
      <c r="X118" s="1" t="s">
        <v>743</v>
      </c>
      <c r="Y118" s="1" t="s">
        <v>13</v>
      </c>
      <c r="Z118" s="1" t="s">
        <v>513</v>
      </c>
      <c r="AA118" s="1" t="s">
        <v>745</v>
      </c>
      <c r="AB118" s="1" t="s">
        <v>1490</v>
      </c>
      <c r="AC118" s="1" t="s">
        <v>14</v>
      </c>
      <c r="AD118" s="1" t="s">
        <v>53</v>
      </c>
      <c r="AE118" s="1" t="s">
        <v>74</v>
      </c>
      <c r="AF118" s="1" t="s">
        <v>336</v>
      </c>
      <c r="AG118" s="1" t="s">
        <v>746</v>
      </c>
      <c r="AH118" s="1" t="s">
        <v>6</v>
      </c>
      <c r="AI118" s="1" t="s">
        <v>523</v>
      </c>
      <c r="AJ118" s="1" t="s">
        <v>747</v>
      </c>
      <c r="AK118" s="1" t="s">
        <v>523</v>
      </c>
      <c r="AL118" s="1" t="s">
        <v>748</v>
      </c>
      <c r="AM118" s="1" t="s">
        <v>26</v>
      </c>
      <c r="AN118" s="1"/>
      <c r="AO118" s="1"/>
      <c r="AP118" s="1"/>
      <c r="AQ118" s="1" t="s">
        <v>35</v>
      </c>
      <c r="AR118" s="1" t="s">
        <v>1</v>
      </c>
      <c r="AS118" s="1">
        <v>0.46296296296296291</v>
      </c>
      <c r="AT118" s="1">
        <v>0.18832391713747651</v>
      </c>
      <c r="AU118" s="1">
        <v>1.136363636363636</v>
      </c>
      <c r="AV118" s="1" t="s">
        <v>1</v>
      </c>
      <c r="AW118" s="1">
        <v>0.5</v>
      </c>
      <c r="AX118" s="1">
        <v>0.21141649048625791</v>
      </c>
      <c r="AY118" s="1">
        <v>1.1764705882352939</v>
      </c>
      <c r="AZ118" s="1" t="s">
        <v>749</v>
      </c>
      <c r="BA118" s="1" t="s">
        <v>1</v>
      </c>
      <c r="BB118" s="1">
        <v>0.46296296296296291</v>
      </c>
      <c r="BC118" s="1">
        <v>0.18832391713747651</v>
      </c>
      <c r="BD118" s="1">
        <v>1.136363636363636</v>
      </c>
      <c r="BE118" s="1" t="s">
        <v>750</v>
      </c>
      <c r="BF118" s="1" t="s">
        <v>0</v>
      </c>
    </row>
    <row r="119" spans="1:58" x14ac:dyDescent="0.25">
      <c r="A119" s="1" t="s">
        <v>740</v>
      </c>
      <c r="B119" s="1" t="s">
        <v>741</v>
      </c>
      <c r="C119" s="1" t="s">
        <v>742</v>
      </c>
      <c r="D119" s="1">
        <v>2023</v>
      </c>
      <c r="E119" s="1" t="b">
        <v>0</v>
      </c>
      <c r="F119" s="1" t="s">
        <v>1381</v>
      </c>
      <c r="G119" s="1" t="s">
        <v>1380</v>
      </c>
      <c r="H119" s="1" t="s">
        <v>22</v>
      </c>
      <c r="I119" s="1" t="s">
        <v>21</v>
      </c>
      <c r="J119" s="1" t="s">
        <v>20</v>
      </c>
      <c r="K119" s="1">
        <v>311</v>
      </c>
      <c r="L119" s="1" t="s">
        <v>743</v>
      </c>
      <c r="M119" s="1" t="s">
        <v>148</v>
      </c>
      <c r="N119" s="1" t="s">
        <v>200</v>
      </c>
      <c r="O119" s="1" t="s">
        <v>744</v>
      </c>
      <c r="P119" s="1" t="s">
        <v>133</v>
      </c>
      <c r="Q119" s="1" t="s">
        <v>1527</v>
      </c>
      <c r="R119" s="1" t="s">
        <v>35</v>
      </c>
      <c r="S119" s="1" t="s">
        <v>21</v>
      </c>
      <c r="T119" s="1">
        <v>1</v>
      </c>
      <c r="U119" s="1" t="s">
        <v>145</v>
      </c>
      <c r="V119" s="1" t="s">
        <v>53</v>
      </c>
      <c r="W119" s="1" t="s">
        <v>13</v>
      </c>
      <c r="X119" s="1" t="s">
        <v>743</v>
      </c>
      <c r="Y119" s="1" t="s">
        <v>13</v>
      </c>
      <c r="Z119" s="1" t="s">
        <v>513</v>
      </c>
      <c r="AA119" s="1" t="s">
        <v>745</v>
      </c>
      <c r="AB119" s="1" t="s">
        <v>1490</v>
      </c>
      <c r="AC119" s="1" t="s">
        <v>14</v>
      </c>
      <c r="AD119" s="1" t="s">
        <v>53</v>
      </c>
      <c r="AE119" s="1" t="s">
        <v>74</v>
      </c>
      <c r="AF119" s="1" t="s">
        <v>336</v>
      </c>
      <c r="AG119" s="1" t="s">
        <v>746</v>
      </c>
      <c r="AH119" s="1" t="s">
        <v>26</v>
      </c>
      <c r="AI119" s="1" t="s">
        <v>523</v>
      </c>
      <c r="AJ119" s="1" t="s">
        <v>1473</v>
      </c>
      <c r="AK119" s="1" t="s">
        <v>523</v>
      </c>
      <c r="AL119" s="1" t="s">
        <v>751</v>
      </c>
      <c r="AM119" s="1" t="s">
        <v>26</v>
      </c>
      <c r="AN119" s="1"/>
      <c r="AO119" s="1"/>
      <c r="AP119" s="1"/>
      <c r="AQ119" s="1" t="s">
        <v>35</v>
      </c>
      <c r="AR119" s="1" t="s">
        <v>1</v>
      </c>
      <c r="AS119" s="1">
        <v>0.71</v>
      </c>
      <c r="AT119" s="1">
        <v>0.28999999999999998</v>
      </c>
      <c r="AU119" s="1">
        <v>1.72</v>
      </c>
      <c r="AV119" s="1" t="s">
        <v>1</v>
      </c>
      <c r="AW119" s="1">
        <v>0.78</v>
      </c>
      <c r="AX119" s="1">
        <v>0.33</v>
      </c>
      <c r="AY119" s="1">
        <v>1.83</v>
      </c>
      <c r="AZ119" s="1" t="s">
        <v>752</v>
      </c>
      <c r="BA119" s="1" t="s">
        <v>1</v>
      </c>
      <c r="BB119" s="1">
        <v>0.71</v>
      </c>
      <c r="BC119" s="1">
        <v>0.28999999999999998</v>
      </c>
      <c r="BD119" s="1">
        <v>1.72</v>
      </c>
      <c r="BE119" s="1" t="s">
        <v>753</v>
      </c>
      <c r="BF119" s="1" t="s">
        <v>0</v>
      </c>
    </row>
    <row r="120" spans="1:58" x14ac:dyDescent="0.25">
      <c r="A120" s="1" t="s">
        <v>740</v>
      </c>
      <c r="B120" s="1" t="s">
        <v>741</v>
      </c>
      <c r="C120" s="1" t="s">
        <v>742</v>
      </c>
      <c r="D120" s="1">
        <v>2023</v>
      </c>
      <c r="E120" s="1" t="b">
        <v>0</v>
      </c>
      <c r="F120" s="1" t="s">
        <v>1381</v>
      </c>
      <c r="G120" s="1" t="s">
        <v>1380</v>
      </c>
      <c r="H120" s="1" t="s">
        <v>22</v>
      </c>
      <c r="I120" s="1" t="s">
        <v>21</v>
      </c>
      <c r="J120" s="1" t="s">
        <v>20</v>
      </c>
      <c r="K120" s="1">
        <v>311</v>
      </c>
      <c r="L120" s="1">
        <f>45+37+18</f>
        <v>100</v>
      </c>
      <c r="M120" s="1" t="s">
        <v>148</v>
      </c>
      <c r="N120" s="1" t="s">
        <v>200</v>
      </c>
      <c r="O120" s="1" t="s">
        <v>744</v>
      </c>
      <c r="P120" s="1" t="s">
        <v>133</v>
      </c>
      <c r="Q120" s="1" t="s">
        <v>1527</v>
      </c>
      <c r="R120" s="1" t="s">
        <v>35</v>
      </c>
      <c r="S120" s="1" t="s">
        <v>21</v>
      </c>
      <c r="T120" s="1">
        <v>1</v>
      </c>
      <c r="U120" s="1" t="s">
        <v>145</v>
      </c>
      <c r="V120" s="1" t="s">
        <v>53</v>
      </c>
      <c r="W120" s="1" t="s">
        <v>13</v>
      </c>
      <c r="X120" s="1">
        <v>100</v>
      </c>
      <c r="Y120" s="1">
        <v>1</v>
      </c>
      <c r="Z120" s="1" t="s">
        <v>513</v>
      </c>
      <c r="AA120" s="1" t="s">
        <v>1491</v>
      </c>
      <c r="AB120" s="1" t="s">
        <v>1490</v>
      </c>
      <c r="AC120" s="1" t="s">
        <v>14</v>
      </c>
      <c r="AD120" s="1" t="s">
        <v>53</v>
      </c>
      <c r="AE120" s="1" t="s">
        <v>74</v>
      </c>
      <c r="AF120" s="1">
        <v>37</v>
      </c>
      <c r="AG120" s="1">
        <f>Table1[[#This Row],[exposed_num]]/100</f>
        <v>0.37</v>
      </c>
      <c r="AH120" s="1" t="s">
        <v>26</v>
      </c>
      <c r="AI120" s="1" t="s">
        <v>523</v>
      </c>
      <c r="AJ120" s="1" t="s">
        <v>747</v>
      </c>
      <c r="AK120" s="1" t="s">
        <v>523</v>
      </c>
      <c r="AL120" s="1" t="s">
        <v>748</v>
      </c>
      <c r="AM120" s="1" t="s">
        <v>26</v>
      </c>
      <c r="AN120" s="1"/>
      <c r="AO120" s="1"/>
      <c r="AP120" s="1"/>
      <c r="AQ120" s="1" t="s">
        <v>35</v>
      </c>
      <c r="AR120" s="1" t="s">
        <v>1</v>
      </c>
      <c r="AS120" s="1">
        <f>1/0.72</f>
        <v>1.3888888888888888</v>
      </c>
      <c r="AT120" s="1">
        <f>1/2.65</f>
        <v>0.37735849056603776</v>
      </c>
      <c r="AU120" s="1">
        <f>1/0.26</f>
        <v>3.8461538461538458</v>
      </c>
      <c r="AV120" s="1" t="s">
        <v>1</v>
      </c>
      <c r="AW120" s="1">
        <f>1/0.85</f>
        <v>1.1764705882352942</v>
      </c>
      <c r="AX120" s="1">
        <v>0.34</v>
      </c>
      <c r="AY120" s="1">
        <v>4.08</v>
      </c>
      <c r="AZ120" s="1">
        <v>0.79500000000000004</v>
      </c>
      <c r="BA120" s="1" t="s">
        <v>1</v>
      </c>
      <c r="BB120" s="1">
        <f>1/0.72</f>
        <v>1.3888888888888888</v>
      </c>
      <c r="BC120" s="1">
        <f>1/2.65</f>
        <v>0.37735849056603776</v>
      </c>
      <c r="BD120" s="1">
        <f>1/0.26</f>
        <v>3.8461538461538458</v>
      </c>
      <c r="BE120" s="1">
        <v>0.74399999999999999</v>
      </c>
      <c r="BF120" s="1" t="s">
        <v>0</v>
      </c>
    </row>
    <row r="121" spans="1:58" x14ac:dyDescent="0.25">
      <c r="A121" s="1" t="s">
        <v>740</v>
      </c>
      <c r="B121" s="1" t="s">
        <v>741</v>
      </c>
      <c r="C121" s="1" t="s">
        <v>742</v>
      </c>
      <c r="D121" s="1">
        <v>2023</v>
      </c>
      <c r="E121" s="1" t="b">
        <v>0</v>
      </c>
      <c r="F121" s="1" t="s">
        <v>1381</v>
      </c>
      <c r="G121" s="1" t="s">
        <v>1380</v>
      </c>
      <c r="H121" s="1" t="s">
        <v>22</v>
      </c>
      <c r="I121" s="1" t="s">
        <v>21</v>
      </c>
      <c r="J121" s="1" t="s">
        <v>20</v>
      </c>
      <c r="K121" s="1">
        <v>311</v>
      </c>
      <c r="L121" s="1">
        <f>45+37+18</f>
        <v>100</v>
      </c>
      <c r="M121" s="1" t="s">
        <v>148</v>
      </c>
      <c r="N121" s="1" t="s">
        <v>200</v>
      </c>
      <c r="O121" s="1" t="s">
        <v>744</v>
      </c>
      <c r="P121" s="1" t="s">
        <v>133</v>
      </c>
      <c r="Q121" s="1" t="s">
        <v>1527</v>
      </c>
      <c r="R121" s="1" t="s">
        <v>35</v>
      </c>
      <c r="S121" s="1" t="s">
        <v>21</v>
      </c>
      <c r="T121" s="1">
        <v>1</v>
      </c>
      <c r="U121" s="1" t="s">
        <v>145</v>
      </c>
      <c r="V121" s="1" t="s">
        <v>53</v>
      </c>
      <c r="W121" s="1" t="s">
        <v>13</v>
      </c>
      <c r="X121" s="1">
        <v>100</v>
      </c>
      <c r="Y121" s="1">
        <v>1</v>
      </c>
      <c r="Z121" s="1" t="s">
        <v>513</v>
      </c>
      <c r="AA121" s="1" t="s">
        <v>1491</v>
      </c>
      <c r="AB121" s="1" t="s">
        <v>1490</v>
      </c>
      <c r="AC121" s="1" t="s">
        <v>14</v>
      </c>
      <c r="AD121" s="1" t="s">
        <v>53</v>
      </c>
      <c r="AE121" s="1" t="s">
        <v>74</v>
      </c>
      <c r="AF121" s="1">
        <v>37</v>
      </c>
      <c r="AG121" s="1">
        <f>Table1[[#This Row],[exposed_num]]/100</f>
        <v>0.37</v>
      </c>
      <c r="AH121" s="1" t="s">
        <v>6</v>
      </c>
      <c r="AI121" s="1" t="s">
        <v>523</v>
      </c>
      <c r="AJ121" s="1" t="s">
        <v>1473</v>
      </c>
      <c r="AK121" s="1" t="s">
        <v>523</v>
      </c>
      <c r="AL121" s="1" t="s">
        <v>751</v>
      </c>
      <c r="AM121" s="1" t="s">
        <v>26</v>
      </c>
      <c r="AN121" s="1"/>
      <c r="AO121" s="1"/>
      <c r="AP121" s="1"/>
      <c r="AQ121" s="1" t="s">
        <v>35</v>
      </c>
      <c r="AR121" s="1" t="s">
        <v>1</v>
      </c>
      <c r="AS121" s="1">
        <v>2.78</v>
      </c>
      <c r="AT121" s="1">
        <v>1.1200000000000001</v>
      </c>
      <c r="AU121" s="1">
        <v>6.88</v>
      </c>
      <c r="AV121" s="1" t="s">
        <v>1</v>
      </c>
      <c r="AW121" s="1">
        <v>2.66</v>
      </c>
      <c r="AX121" s="1">
        <v>1.08</v>
      </c>
      <c r="AY121" s="1">
        <v>6.51</v>
      </c>
      <c r="AZ121" s="1">
        <v>3.3000000000000002E-2</v>
      </c>
      <c r="BA121" s="1" t="s">
        <v>1</v>
      </c>
      <c r="BB121" s="1">
        <v>2.78</v>
      </c>
      <c r="BC121" s="1">
        <v>1.1200000000000001</v>
      </c>
      <c r="BD121" s="1">
        <v>6.88</v>
      </c>
      <c r="BE121" s="1">
        <v>2.8000000000000001E-2</v>
      </c>
      <c r="BF121" s="1" t="s">
        <v>0</v>
      </c>
    </row>
    <row r="122" spans="1:58" x14ac:dyDescent="0.25">
      <c r="A122" s="1" t="s">
        <v>740</v>
      </c>
      <c r="B122" s="1" t="s">
        <v>741</v>
      </c>
      <c r="C122" s="1" t="s">
        <v>742</v>
      </c>
      <c r="D122" s="1">
        <v>2023</v>
      </c>
      <c r="E122" s="1" t="b">
        <v>0</v>
      </c>
      <c r="F122" s="1" t="s">
        <v>1381</v>
      </c>
      <c r="G122" s="1" t="s">
        <v>1380</v>
      </c>
      <c r="H122" s="1" t="s">
        <v>22</v>
      </c>
      <c r="I122" s="1" t="s">
        <v>21</v>
      </c>
      <c r="J122" s="1" t="s">
        <v>20</v>
      </c>
      <c r="K122" s="1">
        <v>311</v>
      </c>
      <c r="L122" s="1">
        <f>45+37+18</f>
        <v>100</v>
      </c>
      <c r="M122" s="1" t="s">
        <v>148</v>
      </c>
      <c r="N122" s="1" t="s">
        <v>200</v>
      </c>
      <c r="O122" s="1" t="s">
        <v>744</v>
      </c>
      <c r="P122" s="1" t="s">
        <v>133</v>
      </c>
      <c r="Q122" s="1" t="s">
        <v>1527</v>
      </c>
      <c r="R122" s="1" t="s">
        <v>35</v>
      </c>
      <c r="S122" s="1" t="s">
        <v>21</v>
      </c>
      <c r="T122" s="1">
        <v>1</v>
      </c>
      <c r="U122" s="1" t="s">
        <v>145</v>
      </c>
      <c r="V122" s="1" t="s">
        <v>53</v>
      </c>
      <c r="W122" s="1" t="s">
        <v>13</v>
      </c>
      <c r="X122" s="1">
        <v>100</v>
      </c>
      <c r="Y122" s="1">
        <v>1</v>
      </c>
      <c r="Z122" s="1" t="s">
        <v>39</v>
      </c>
      <c r="AA122" s="1" t="s">
        <v>1492</v>
      </c>
      <c r="AB122" s="1" t="s">
        <v>1489</v>
      </c>
      <c r="AC122" s="1" t="s">
        <v>14</v>
      </c>
      <c r="AD122" s="1" t="s">
        <v>53</v>
      </c>
      <c r="AE122" s="1" t="s">
        <v>8</v>
      </c>
      <c r="AF122" s="1">
        <v>18</v>
      </c>
      <c r="AG122" s="1">
        <f>Table1[[#This Row],[exposed_num]]/100</f>
        <v>0.18</v>
      </c>
      <c r="AH122" s="1" t="s">
        <v>26</v>
      </c>
      <c r="AI122" s="1" t="s">
        <v>523</v>
      </c>
      <c r="AJ122" s="1" t="s">
        <v>747</v>
      </c>
      <c r="AK122" s="1" t="s">
        <v>523</v>
      </c>
      <c r="AL122" s="1" t="s">
        <v>748</v>
      </c>
      <c r="AM122" s="1" t="s">
        <v>26</v>
      </c>
      <c r="AN122" s="1"/>
      <c r="AO122" s="1"/>
      <c r="AP122" s="1"/>
      <c r="AQ122" s="1" t="s">
        <v>35</v>
      </c>
      <c r="AR122" s="1" t="s">
        <v>1</v>
      </c>
      <c r="AS122" s="1">
        <f>1/0.41</f>
        <v>2.4390243902439024</v>
      </c>
      <c r="AT122" s="1">
        <f>1/3.66</f>
        <v>0.27322404371584696</v>
      </c>
      <c r="AU122" s="1">
        <f>1/0.05</f>
        <v>20</v>
      </c>
      <c r="AV122" s="1" t="s">
        <v>1</v>
      </c>
      <c r="AW122" s="1">
        <f>1/0.32</f>
        <v>3.125</v>
      </c>
      <c r="AX122" s="1">
        <f>1/2.8</f>
        <v>0.35714285714285715</v>
      </c>
      <c r="AY122" s="1">
        <f>1/0.04</f>
        <v>25</v>
      </c>
      <c r="AZ122" s="1">
        <v>0.30299999999999999</v>
      </c>
      <c r="BA122" s="1" t="s">
        <v>1</v>
      </c>
      <c r="BB122" s="1">
        <f>1/0.41</f>
        <v>2.4390243902439024</v>
      </c>
      <c r="BC122" s="1">
        <f>1/3.66</f>
        <v>0.27322404371584696</v>
      </c>
      <c r="BD122" s="1">
        <f>1/0.05</f>
        <v>20</v>
      </c>
      <c r="BE122" s="1">
        <v>0.42299999999999999</v>
      </c>
      <c r="BF122" s="1" t="s">
        <v>0</v>
      </c>
    </row>
    <row r="123" spans="1:58" x14ac:dyDescent="0.25">
      <c r="A123" s="1" t="s">
        <v>740</v>
      </c>
      <c r="B123" s="1" t="s">
        <v>741</v>
      </c>
      <c r="C123" s="1" t="s">
        <v>742</v>
      </c>
      <c r="D123" s="1">
        <v>2023</v>
      </c>
      <c r="E123" s="1" t="b">
        <v>0</v>
      </c>
      <c r="F123" s="1" t="s">
        <v>1381</v>
      </c>
      <c r="G123" s="1" t="s">
        <v>1380</v>
      </c>
      <c r="H123" s="1" t="s">
        <v>22</v>
      </c>
      <c r="I123" s="1" t="s">
        <v>21</v>
      </c>
      <c r="J123" s="1" t="s">
        <v>20</v>
      </c>
      <c r="K123" s="1">
        <v>311</v>
      </c>
      <c r="L123" s="1">
        <f>45+37+18</f>
        <v>100</v>
      </c>
      <c r="M123" s="1" t="s">
        <v>148</v>
      </c>
      <c r="N123" s="1" t="s">
        <v>200</v>
      </c>
      <c r="O123" s="1" t="s">
        <v>744</v>
      </c>
      <c r="P123" s="1" t="s">
        <v>133</v>
      </c>
      <c r="Q123" s="1" t="s">
        <v>1527</v>
      </c>
      <c r="R123" s="1" t="s">
        <v>35</v>
      </c>
      <c r="S123" s="1" t="s">
        <v>21</v>
      </c>
      <c r="T123" s="1">
        <v>1</v>
      </c>
      <c r="U123" s="1" t="s">
        <v>145</v>
      </c>
      <c r="V123" s="1" t="s">
        <v>53</v>
      </c>
      <c r="W123" s="1" t="s">
        <v>13</v>
      </c>
      <c r="X123" s="1">
        <v>100</v>
      </c>
      <c r="Y123" s="1">
        <v>1</v>
      </c>
      <c r="Z123" s="1" t="s">
        <v>39</v>
      </c>
      <c r="AA123" s="1" t="s">
        <v>1492</v>
      </c>
      <c r="AB123" s="1" t="s">
        <v>1489</v>
      </c>
      <c r="AC123" s="1" t="s">
        <v>14</v>
      </c>
      <c r="AD123" s="1" t="s">
        <v>53</v>
      </c>
      <c r="AE123" s="1" t="s">
        <v>8</v>
      </c>
      <c r="AF123" s="1">
        <v>18</v>
      </c>
      <c r="AG123" s="1">
        <f>Table1[[#This Row],[exposed_num]]/100</f>
        <v>0.18</v>
      </c>
      <c r="AH123" s="1" t="s">
        <v>6</v>
      </c>
      <c r="AI123" s="1" t="s">
        <v>523</v>
      </c>
      <c r="AJ123" s="1" t="s">
        <v>1473</v>
      </c>
      <c r="AK123" s="1" t="s">
        <v>523</v>
      </c>
      <c r="AL123" s="1" t="s">
        <v>751</v>
      </c>
      <c r="AM123" s="1" t="s">
        <v>26</v>
      </c>
      <c r="AN123" s="1"/>
      <c r="AO123" s="1"/>
      <c r="AP123" s="1"/>
      <c r="AQ123" s="1" t="s">
        <v>35</v>
      </c>
      <c r="AR123" s="1" t="s">
        <v>1</v>
      </c>
      <c r="AS123" s="1">
        <v>0.82</v>
      </c>
      <c r="AT123" s="1">
        <v>0.26</v>
      </c>
      <c r="AU123" s="1">
        <v>2.64</v>
      </c>
      <c r="AV123" s="1" t="s">
        <v>1</v>
      </c>
      <c r="AW123" s="1">
        <v>0.91</v>
      </c>
      <c r="AX123" s="1">
        <v>0.28999999999999998</v>
      </c>
      <c r="AY123" s="1">
        <v>2.88</v>
      </c>
      <c r="AZ123" s="1">
        <v>0.86699999999999999</v>
      </c>
      <c r="BA123" s="1" t="s">
        <v>1</v>
      </c>
      <c r="BB123" s="1">
        <v>0.82</v>
      </c>
      <c r="BC123" s="1">
        <v>0.26</v>
      </c>
      <c r="BD123" s="1">
        <v>2.64</v>
      </c>
      <c r="BE123" s="1">
        <v>0.74399999999999999</v>
      </c>
      <c r="BF123" s="1" t="s">
        <v>0</v>
      </c>
    </row>
    <row r="124" spans="1:58" x14ac:dyDescent="0.25">
      <c r="A124" s="1" t="s">
        <v>740</v>
      </c>
      <c r="B124" s="1" t="s">
        <v>741</v>
      </c>
      <c r="C124" s="1" t="s">
        <v>742</v>
      </c>
      <c r="D124" s="1">
        <v>2023</v>
      </c>
      <c r="E124" s="1" t="b">
        <v>0</v>
      </c>
      <c r="F124" s="1" t="s">
        <v>1381</v>
      </c>
      <c r="G124" s="1" t="s">
        <v>1380</v>
      </c>
      <c r="H124" s="1" t="s">
        <v>22</v>
      </c>
      <c r="I124" s="1" t="s">
        <v>21</v>
      </c>
      <c r="J124" s="1" t="s">
        <v>20</v>
      </c>
      <c r="K124" s="1">
        <v>311</v>
      </c>
      <c r="L124" s="1" t="s">
        <v>743</v>
      </c>
      <c r="M124" s="1" t="s">
        <v>148</v>
      </c>
      <c r="N124" s="1" t="s">
        <v>200</v>
      </c>
      <c r="O124" s="1" t="s">
        <v>744</v>
      </c>
      <c r="P124" s="1" t="s">
        <v>133</v>
      </c>
      <c r="Q124" s="1" t="s">
        <v>1527</v>
      </c>
      <c r="R124" s="1" t="s">
        <v>35</v>
      </c>
      <c r="S124" s="1" t="s">
        <v>21</v>
      </c>
      <c r="T124" s="1">
        <v>1</v>
      </c>
      <c r="U124" s="1" t="s">
        <v>145</v>
      </c>
      <c r="V124" s="1" t="s">
        <v>53</v>
      </c>
      <c r="W124" s="1" t="s">
        <v>13</v>
      </c>
      <c r="X124" s="1" t="s">
        <v>743</v>
      </c>
      <c r="Y124" s="1" t="s">
        <v>13</v>
      </c>
      <c r="Z124" s="1" t="s">
        <v>513</v>
      </c>
      <c r="AA124" s="1" t="s">
        <v>745</v>
      </c>
      <c r="AB124" s="1" t="s">
        <v>1490</v>
      </c>
      <c r="AC124" s="1" t="s">
        <v>14</v>
      </c>
      <c r="AD124" s="1" t="s">
        <v>53</v>
      </c>
      <c r="AE124" s="1" t="s">
        <v>74</v>
      </c>
      <c r="AF124" s="1" t="s">
        <v>336</v>
      </c>
      <c r="AG124" s="1" t="s">
        <v>746</v>
      </c>
      <c r="AH124" s="1" t="s">
        <v>6</v>
      </c>
      <c r="AI124" s="1" t="s">
        <v>30</v>
      </c>
      <c r="AJ124" s="1" t="s">
        <v>49</v>
      </c>
      <c r="AK124" s="1" t="s">
        <v>28</v>
      </c>
      <c r="AL124" s="1" t="s">
        <v>48</v>
      </c>
      <c r="AM124" s="1" t="s">
        <v>26</v>
      </c>
      <c r="AN124" s="1"/>
      <c r="AO124" s="1"/>
      <c r="AP124" s="1"/>
      <c r="AQ124" s="1" t="s">
        <v>35</v>
      </c>
      <c r="AR124" s="1" t="s">
        <v>1</v>
      </c>
      <c r="AS124" s="1">
        <v>0.99</v>
      </c>
      <c r="AT124" s="1">
        <v>0.11</v>
      </c>
      <c r="AU124" s="1">
        <v>8.59</v>
      </c>
      <c r="AV124" s="1" t="s">
        <v>1</v>
      </c>
      <c r="AW124" s="1">
        <v>0.98</v>
      </c>
      <c r="AX124" s="1">
        <v>0.11</v>
      </c>
      <c r="AY124" s="1">
        <v>8.33</v>
      </c>
      <c r="AZ124" s="1">
        <v>0.98799999999999999</v>
      </c>
      <c r="BA124" s="1" t="s">
        <v>1</v>
      </c>
      <c r="BB124" s="1">
        <v>0.99</v>
      </c>
      <c r="BC124" s="1">
        <v>0.11</v>
      </c>
      <c r="BD124" s="1">
        <v>8.59</v>
      </c>
      <c r="BE124" s="1">
        <v>0.99099999999999999</v>
      </c>
      <c r="BF124" s="1" t="s">
        <v>0</v>
      </c>
    </row>
    <row r="125" spans="1:58" x14ac:dyDescent="0.25">
      <c r="A125" s="1" t="s">
        <v>740</v>
      </c>
      <c r="B125" s="1" t="s">
        <v>741</v>
      </c>
      <c r="C125" s="1" t="s">
        <v>742</v>
      </c>
      <c r="D125" s="1">
        <v>2023</v>
      </c>
      <c r="E125" s="1" t="b">
        <v>0</v>
      </c>
      <c r="F125" s="1" t="s">
        <v>1381</v>
      </c>
      <c r="G125" s="1" t="s">
        <v>1380</v>
      </c>
      <c r="H125" s="1" t="s">
        <v>22</v>
      </c>
      <c r="I125" s="1" t="s">
        <v>21</v>
      </c>
      <c r="J125" s="1" t="s">
        <v>20</v>
      </c>
      <c r="K125" s="1">
        <v>311</v>
      </c>
      <c r="L125" s="1">
        <f>45+37+18</f>
        <v>100</v>
      </c>
      <c r="M125" s="1" t="s">
        <v>148</v>
      </c>
      <c r="N125" s="1" t="s">
        <v>200</v>
      </c>
      <c r="O125" s="1" t="s">
        <v>744</v>
      </c>
      <c r="P125" s="1" t="s">
        <v>133</v>
      </c>
      <c r="Q125" s="1" t="s">
        <v>1527</v>
      </c>
      <c r="R125" s="1" t="s">
        <v>35</v>
      </c>
      <c r="S125" s="1" t="s">
        <v>21</v>
      </c>
      <c r="T125" s="1">
        <v>1</v>
      </c>
      <c r="U125" s="1" t="s">
        <v>145</v>
      </c>
      <c r="V125" s="1" t="s">
        <v>53</v>
      </c>
      <c r="W125" s="1" t="s">
        <v>13</v>
      </c>
      <c r="X125" s="1">
        <v>100</v>
      </c>
      <c r="Y125" s="1">
        <v>1</v>
      </c>
      <c r="Z125" s="1" t="s">
        <v>513</v>
      </c>
      <c r="AA125" s="1" t="s">
        <v>1491</v>
      </c>
      <c r="AB125" s="1" t="s">
        <v>1490</v>
      </c>
      <c r="AC125" s="1" t="s">
        <v>14</v>
      </c>
      <c r="AD125" s="1" t="s">
        <v>53</v>
      </c>
      <c r="AE125" s="1" t="s">
        <v>74</v>
      </c>
      <c r="AF125" s="1">
        <v>37</v>
      </c>
      <c r="AG125" s="1">
        <f>Table1[[#This Row],[exposed_num]]/100</f>
        <v>0.37</v>
      </c>
      <c r="AH125" s="1" t="s">
        <v>6</v>
      </c>
      <c r="AI125" s="1" t="s">
        <v>30</v>
      </c>
      <c r="AJ125" s="1" t="s">
        <v>49</v>
      </c>
      <c r="AK125" s="1" t="s">
        <v>28</v>
      </c>
      <c r="AL125" s="1" t="s">
        <v>48</v>
      </c>
      <c r="AM125" s="1" t="s">
        <v>26</v>
      </c>
      <c r="AN125" s="1"/>
      <c r="AO125" s="1"/>
      <c r="AP125" s="1"/>
      <c r="AQ125" s="1" t="s">
        <v>35</v>
      </c>
      <c r="AR125" s="1" t="s">
        <v>1</v>
      </c>
      <c r="AS125" s="1">
        <v>2.0499999999999998</v>
      </c>
      <c r="AT125" s="1">
        <v>0.57999999999999996</v>
      </c>
      <c r="AU125" s="1">
        <v>7.31</v>
      </c>
      <c r="AV125" s="1" t="s">
        <v>1</v>
      </c>
      <c r="AW125" s="1">
        <v>2.06</v>
      </c>
      <c r="AX125" s="1">
        <v>0.57999999999999996</v>
      </c>
      <c r="AY125" s="1">
        <v>7.74</v>
      </c>
      <c r="AZ125" s="1">
        <v>0.26400000000000001</v>
      </c>
      <c r="BA125" s="1" t="s">
        <v>1</v>
      </c>
      <c r="BB125" s="1">
        <v>2.0499999999999998</v>
      </c>
      <c r="BC125" s="1">
        <v>0.57999999999999996</v>
      </c>
      <c r="BD125" s="1">
        <v>7.31</v>
      </c>
      <c r="BE125" s="1">
        <v>0.26700000000000002</v>
      </c>
      <c r="BF125" s="1" t="s">
        <v>0</v>
      </c>
    </row>
    <row r="126" spans="1:58" x14ac:dyDescent="0.25">
      <c r="A126" s="1" t="s">
        <v>740</v>
      </c>
      <c r="B126" s="1" t="s">
        <v>741</v>
      </c>
      <c r="C126" s="1" t="s">
        <v>742</v>
      </c>
      <c r="D126" s="1">
        <v>2023</v>
      </c>
      <c r="E126" s="1" t="b">
        <v>0</v>
      </c>
      <c r="F126" s="1" t="s">
        <v>1381</v>
      </c>
      <c r="G126" s="1" t="s">
        <v>1380</v>
      </c>
      <c r="H126" s="1" t="s">
        <v>22</v>
      </c>
      <c r="I126" s="1" t="s">
        <v>21</v>
      </c>
      <c r="J126" s="1" t="s">
        <v>20</v>
      </c>
      <c r="K126" s="1">
        <v>311</v>
      </c>
      <c r="L126" s="1">
        <f>45+37+18</f>
        <v>100</v>
      </c>
      <c r="M126" s="1" t="s">
        <v>148</v>
      </c>
      <c r="N126" s="1" t="s">
        <v>200</v>
      </c>
      <c r="O126" s="1" t="s">
        <v>744</v>
      </c>
      <c r="P126" s="1" t="s">
        <v>133</v>
      </c>
      <c r="Q126" s="1" t="s">
        <v>1527</v>
      </c>
      <c r="R126" s="1" t="s">
        <v>35</v>
      </c>
      <c r="S126" s="1" t="s">
        <v>21</v>
      </c>
      <c r="T126" s="1">
        <v>1</v>
      </c>
      <c r="U126" s="1" t="s">
        <v>145</v>
      </c>
      <c r="V126" s="1" t="s">
        <v>53</v>
      </c>
      <c r="W126" s="1" t="s">
        <v>13</v>
      </c>
      <c r="X126" s="1">
        <v>100</v>
      </c>
      <c r="Y126" s="1">
        <v>1</v>
      </c>
      <c r="Z126" s="1" t="s">
        <v>39</v>
      </c>
      <c r="AA126" s="1" t="s">
        <v>1492</v>
      </c>
      <c r="AB126" s="1" t="s">
        <v>1489</v>
      </c>
      <c r="AC126" s="1" t="s">
        <v>14</v>
      </c>
      <c r="AD126" s="1" t="s">
        <v>53</v>
      </c>
      <c r="AE126" s="1" t="s">
        <v>8</v>
      </c>
      <c r="AF126" s="1">
        <v>18</v>
      </c>
      <c r="AG126" s="1">
        <f>Table1[[#This Row],[exposed_num]]/100</f>
        <v>0.18</v>
      </c>
      <c r="AH126" s="1" t="s">
        <v>6</v>
      </c>
      <c r="AI126" s="1" t="s">
        <v>30</v>
      </c>
      <c r="AJ126" s="1" t="s">
        <v>49</v>
      </c>
      <c r="AK126" s="1" t="s">
        <v>28</v>
      </c>
      <c r="AL126" s="1" t="s">
        <v>48</v>
      </c>
      <c r="AM126" s="1" t="s">
        <v>26</v>
      </c>
      <c r="AN126" s="1"/>
      <c r="AO126" s="1"/>
      <c r="AP126" s="1"/>
      <c r="AQ126" s="1" t="s">
        <v>35</v>
      </c>
      <c r="AR126" s="1" t="s">
        <v>1</v>
      </c>
      <c r="AS126" s="1">
        <v>1.27</v>
      </c>
      <c r="AT126" s="1">
        <v>0.3</v>
      </c>
      <c r="AU126" s="1">
        <v>5.48</v>
      </c>
      <c r="AV126" s="1" t="s">
        <v>1</v>
      </c>
      <c r="AW126" s="1">
        <v>1.25</v>
      </c>
      <c r="AX126" s="1">
        <v>0.3</v>
      </c>
      <c r="AY126" s="1">
        <v>5.27</v>
      </c>
      <c r="AZ126" s="1">
        <v>0.76100000000000001</v>
      </c>
      <c r="BA126" s="1" t="s">
        <v>1</v>
      </c>
      <c r="BB126" s="1">
        <v>1.27</v>
      </c>
      <c r="BC126" s="1">
        <v>0.3</v>
      </c>
      <c r="BD126" s="1">
        <v>5.48</v>
      </c>
      <c r="BE126" s="1"/>
      <c r="BF126" s="1" t="s">
        <v>0</v>
      </c>
    </row>
    <row r="127" spans="1:58" x14ac:dyDescent="0.25">
      <c r="A127" s="1" t="s">
        <v>740</v>
      </c>
      <c r="B127" s="1" t="s">
        <v>741</v>
      </c>
      <c r="C127" s="1" t="s">
        <v>742</v>
      </c>
      <c r="D127" s="1">
        <v>2023</v>
      </c>
      <c r="E127" s="1" t="b">
        <v>0</v>
      </c>
      <c r="F127" s="1" t="s">
        <v>1381</v>
      </c>
      <c r="G127" s="1" t="s">
        <v>1380</v>
      </c>
      <c r="H127" s="1" t="s">
        <v>22</v>
      </c>
      <c r="I127" s="1" t="s">
        <v>21</v>
      </c>
      <c r="J127" s="1" t="s">
        <v>20</v>
      </c>
      <c r="K127" s="1">
        <v>311</v>
      </c>
      <c r="L127" s="1" t="s">
        <v>743</v>
      </c>
      <c r="M127" s="1" t="s">
        <v>148</v>
      </c>
      <c r="N127" s="1" t="s">
        <v>200</v>
      </c>
      <c r="O127" s="1" t="s">
        <v>744</v>
      </c>
      <c r="P127" s="1" t="s">
        <v>133</v>
      </c>
      <c r="Q127" s="1" t="s">
        <v>1527</v>
      </c>
      <c r="R127" s="1" t="s">
        <v>35</v>
      </c>
      <c r="S127" s="1" t="s">
        <v>21</v>
      </c>
      <c r="T127" s="1">
        <v>1</v>
      </c>
      <c r="U127" s="1" t="s">
        <v>145</v>
      </c>
      <c r="V127" s="1" t="s">
        <v>53</v>
      </c>
      <c r="W127" s="1" t="s">
        <v>13</v>
      </c>
      <c r="X127" s="1" t="s">
        <v>743</v>
      </c>
      <c r="Y127" s="1" t="s">
        <v>13</v>
      </c>
      <c r="Z127" s="1" t="s">
        <v>513</v>
      </c>
      <c r="AA127" s="1" t="s">
        <v>745</v>
      </c>
      <c r="AB127" s="1" t="s">
        <v>1490</v>
      </c>
      <c r="AC127" s="1" t="s">
        <v>14</v>
      </c>
      <c r="AD127" s="1" t="s">
        <v>53</v>
      </c>
      <c r="AE127" s="1" t="s">
        <v>74</v>
      </c>
      <c r="AF127" s="1" t="s">
        <v>336</v>
      </c>
      <c r="AG127" s="1" t="s">
        <v>754</v>
      </c>
      <c r="AH127" s="1" t="s">
        <v>6</v>
      </c>
      <c r="AI127" s="1" t="s">
        <v>5</v>
      </c>
      <c r="AJ127" s="1" t="s">
        <v>668</v>
      </c>
      <c r="AK127" s="1"/>
      <c r="AL127" s="1"/>
      <c r="AM127" s="1"/>
      <c r="AN127" s="1" t="s">
        <v>3</v>
      </c>
      <c r="AO127" s="1"/>
      <c r="AP127" s="1"/>
      <c r="AQ127" s="1" t="s">
        <v>35</v>
      </c>
      <c r="AR127" s="1" t="s">
        <v>1</v>
      </c>
      <c r="AS127" s="1">
        <v>0.82</v>
      </c>
      <c r="AT127" s="1">
        <v>0.32</v>
      </c>
      <c r="AU127" s="1">
        <v>2.15</v>
      </c>
      <c r="AV127" s="1" t="s">
        <v>1</v>
      </c>
      <c r="AW127" s="1">
        <v>0.85</v>
      </c>
      <c r="AX127" s="1">
        <v>0.33</v>
      </c>
      <c r="AY127" s="1">
        <v>2.15</v>
      </c>
      <c r="AZ127" s="1" t="s">
        <v>755</v>
      </c>
      <c r="BA127" s="1" t="s">
        <v>1</v>
      </c>
      <c r="BB127" s="1">
        <v>0.82</v>
      </c>
      <c r="BC127" s="1">
        <v>0.32</v>
      </c>
      <c r="BD127" s="1">
        <v>2.15</v>
      </c>
      <c r="BE127" s="1" t="s">
        <v>756</v>
      </c>
      <c r="BF127" s="1" t="s">
        <v>0</v>
      </c>
    </row>
    <row r="128" spans="1:58" x14ac:dyDescent="0.25">
      <c r="A128" s="1" t="s">
        <v>740</v>
      </c>
      <c r="B128" s="1" t="s">
        <v>741</v>
      </c>
      <c r="C128" s="1" t="s">
        <v>742</v>
      </c>
      <c r="D128" s="1">
        <v>2023</v>
      </c>
      <c r="E128" s="1" t="b">
        <v>0</v>
      </c>
      <c r="F128" s="1" t="s">
        <v>1381</v>
      </c>
      <c r="G128" s="1" t="s">
        <v>1380</v>
      </c>
      <c r="H128" s="1" t="s">
        <v>22</v>
      </c>
      <c r="I128" s="1" t="s">
        <v>21</v>
      </c>
      <c r="J128" s="1" t="s">
        <v>20</v>
      </c>
      <c r="K128" s="1">
        <v>311</v>
      </c>
      <c r="L128" s="1">
        <f>45+37+18</f>
        <v>100</v>
      </c>
      <c r="M128" s="1" t="s">
        <v>148</v>
      </c>
      <c r="N128" s="1" t="s">
        <v>200</v>
      </c>
      <c r="O128" s="1" t="s">
        <v>744</v>
      </c>
      <c r="P128" s="1" t="s">
        <v>133</v>
      </c>
      <c r="Q128" s="1" t="s">
        <v>1527</v>
      </c>
      <c r="R128" s="1" t="s">
        <v>35</v>
      </c>
      <c r="S128" s="1" t="s">
        <v>21</v>
      </c>
      <c r="T128" s="1">
        <v>1</v>
      </c>
      <c r="U128" s="1" t="s">
        <v>145</v>
      </c>
      <c r="V128" s="1" t="s">
        <v>53</v>
      </c>
      <c r="W128" s="1" t="s">
        <v>13</v>
      </c>
      <c r="X128" s="1">
        <v>100</v>
      </c>
      <c r="Y128" s="1">
        <v>1</v>
      </c>
      <c r="Z128" s="1" t="s">
        <v>513</v>
      </c>
      <c r="AA128" s="1" t="s">
        <v>1491</v>
      </c>
      <c r="AB128" s="1" t="s">
        <v>1490</v>
      </c>
      <c r="AC128" s="1" t="s">
        <v>14</v>
      </c>
      <c r="AD128" s="1" t="s">
        <v>53</v>
      </c>
      <c r="AE128" s="1" t="s">
        <v>74</v>
      </c>
      <c r="AF128" s="1">
        <v>37</v>
      </c>
      <c r="AG128" s="1">
        <f>Table1[[#This Row],[exposed_num]]/100</f>
        <v>0.37</v>
      </c>
      <c r="AH128" s="1" t="s">
        <v>6</v>
      </c>
      <c r="AI128" s="1" t="s">
        <v>5</v>
      </c>
      <c r="AJ128" s="1" t="s">
        <v>668</v>
      </c>
      <c r="AK128" s="1"/>
      <c r="AL128" s="1"/>
      <c r="AM128" s="1"/>
      <c r="AN128" s="1" t="s">
        <v>3</v>
      </c>
      <c r="AO128" s="1"/>
      <c r="AP128" s="1"/>
      <c r="AQ128" s="1" t="s">
        <v>35</v>
      </c>
      <c r="AR128" s="1" t="s">
        <v>1</v>
      </c>
      <c r="AS128" s="1">
        <v>0.79</v>
      </c>
      <c r="AT128" s="1">
        <v>0.32</v>
      </c>
      <c r="AU128" s="1">
        <v>1.95</v>
      </c>
      <c r="AV128" s="1" t="s">
        <v>1</v>
      </c>
      <c r="AW128" s="1">
        <v>0.81</v>
      </c>
      <c r="AX128" s="1">
        <v>0.33</v>
      </c>
      <c r="AY128" s="1">
        <v>1.98</v>
      </c>
      <c r="AZ128" s="1">
        <v>0.64300000000000002</v>
      </c>
      <c r="BA128" s="1" t="s">
        <v>1</v>
      </c>
      <c r="BB128" s="1">
        <v>0.79</v>
      </c>
      <c r="BC128" s="1">
        <v>0.32</v>
      </c>
      <c r="BD128" s="1">
        <v>1.95</v>
      </c>
      <c r="BE128" s="1">
        <v>0.61199999999999999</v>
      </c>
      <c r="BF128" s="1" t="s">
        <v>0</v>
      </c>
    </row>
    <row r="129" spans="1:58" x14ac:dyDescent="0.25">
      <c r="A129" s="1" t="s">
        <v>740</v>
      </c>
      <c r="B129" s="1" t="s">
        <v>741</v>
      </c>
      <c r="C129" s="1" t="s">
        <v>742</v>
      </c>
      <c r="D129" s="1">
        <v>2023</v>
      </c>
      <c r="E129" s="1" t="b">
        <v>0</v>
      </c>
      <c r="F129" s="1" t="s">
        <v>1381</v>
      </c>
      <c r="G129" s="1" t="s">
        <v>1380</v>
      </c>
      <c r="H129" s="1" t="s">
        <v>22</v>
      </c>
      <c r="I129" s="1" t="s">
        <v>21</v>
      </c>
      <c r="J129" s="1" t="s">
        <v>20</v>
      </c>
      <c r="K129" s="1">
        <v>311</v>
      </c>
      <c r="L129" s="1">
        <f>45+37+18</f>
        <v>100</v>
      </c>
      <c r="M129" s="1" t="s">
        <v>148</v>
      </c>
      <c r="N129" s="1" t="s">
        <v>200</v>
      </c>
      <c r="O129" s="1" t="s">
        <v>744</v>
      </c>
      <c r="P129" s="1" t="s">
        <v>133</v>
      </c>
      <c r="Q129" s="1" t="s">
        <v>1527</v>
      </c>
      <c r="R129" s="1" t="s">
        <v>35</v>
      </c>
      <c r="S129" s="1" t="s">
        <v>21</v>
      </c>
      <c r="T129" s="1">
        <v>1</v>
      </c>
      <c r="U129" s="1" t="s">
        <v>145</v>
      </c>
      <c r="V129" s="1" t="s">
        <v>53</v>
      </c>
      <c r="W129" s="1" t="s">
        <v>13</v>
      </c>
      <c r="X129" s="1">
        <v>100</v>
      </c>
      <c r="Y129" s="1">
        <v>1</v>
      </c>
      <c r="Z129" s="1" t="s">
        <v>39</v>
      </c>
      <c r="AA129" s="1" t="s">
        <v>1492</v>
      </c>
      <c r="AB129" s="1" t="s">
        <v>1489</v>
      </c>
      <c r="AC129" s="1" t="s">
        <v>14</v>
      </c>
      <c r="AD129" s="1" t="s">
        <v>53</v>
      </c>
      <c r="AE129" s="1" t="s">
        <v>8</v>
      </c>
      <c r="AF129" s="1">
        <v>18</v>
      </c>
      <c r="AG129" s="1">
        <f>Table1[[#This Row],[exposed_num]]/100</f>
        <v>0.18</v>
      </c>
      <c r="AH129" s="1" t="s">
        <v>6</v>
      </c>
      <c r="AI129" s="1" t="s">
        <v>5</v>
      </c>
      <c r="AJ129" s="1" t="s">
        <v>668</v>
      </c>
      <c r="AK129" s="1"/>
      <c r="AL129" s="1"/>
      <c r="AM129" s="1"/>
      <c r="AN129" s="1" t="s">
        <v>3</v>
      </c>
      <c r="AO129" s="1"/>
      <c r="AP129" s="1"/>
      <c r="AQ129" s="1" t="s">
        <v>35</v>
      </c>
      <c r="AR129" s="1" t="s">
        <v>1</v>
      </c>
      <c r="AS129" s="1">
        <v>1.56</v>
      </c>
      <c r="AT129" s="1">
        <v>0.46</v>
      </c>
      <c r="AU129" s="1">
        <v>5.23</v>
      </c>
      <c r="AV129" s="1" t="s">
        <v>1</v>
      </c>
      <c r="AW129" s="1">
        <v>1.43</v>
      </c>
      <c r="AX129" s="1">
        <v>0.43</v>
      </c>
      <c r="AY129" s="1">
        <v>4.76</v>
      </c>
      <c r="AZ129" s="1">
        <v>0.55500000000000005</v>
      </c>
      <c r="BA129" s="1" t="s">
        <v>1</v>
      </c>
      <c r="BB129" s="1">
        <v>1.56</v>
      </c>
      <c r="BC129" s="1">
        <v>0.46</v>
      </c>
      <c r="BD129" s="1">
        <v>5.23</v>
      </c>
      <c r="BE129" s="1">
        <v>0.47499999999999998</v>
      </c>
      <c r="BF129" s="1" t="s">
        <v>0</v>
      </c>
    </row>
    <row r="130" spans="1:58" x14ac:dyDescent="0.25">
      <c r="A130" s="1" t="s">
        <v>757</v>
      </c>
      <c r="B130" s="1" t="s">
        <v>758</v>
      </c>
      <c r="C130" s="1" t="s">
        <v>759</v>
      </c>
      <c r="D130" s="1">
        <v>2017</v>
      </c>
      <c r="E130" s="1" t="b">
        <v>0</v>
      </c>
      <c r="F130" s="1" t="s">
        <v>1380</v>
      </c>
      <c r="G130" s="1" t="s">
        <v>1380</v>
      </c>
      <c r="H130" s="1" t="s">
        <v>22</v>
      </c>
      <c r="I130" s="1" t="s">
        <v>21</v>
      </c>
      <c r="J130" s="1" t="s">
        <v>20</v>
      </c>
      <c r="K130" s="1" t="s">
        <v>760</v>
      </c>
      <c r="L130" s="1" t="s">
        <v>760</v>
      </c>
      <c r="M130" s="1" t="s">
        <v>1522</v>
      </c>
      <c r="N130" s="1" t="s">
        <v>200</v>
      </c>
      <c r="O130" s="1" t="s">
        <v>744</v>
      </c>
      <c r="P130" s="1" t="s">
        <v>133</v>
      </c>
      <c r="Q130" s="1" t="s">
        <v>1527</v>
      </c>
      <c r="R130" s="1" t="s">
        <v>35</v>
      </c>
      <c r="S130" s="1" t="s">
        <v>21</v>
      </c>
      <c r="T130" s="1">
        <v>1</v>
      </c>
      <c r="U130" s="1" t="s">
        <v>112</v>
      </c>
      <c r="V130" s="1" t="s">
        <v>53</v>
      </c>
      <c r="W130" s="1" t="s">
        <v>13</v>
      </c>
      <c r="X130" s="1" t="s">
        <v>760</v>
      </c>
      <c r="Y130" s="1" t="s">
        <v>13</v>
      </c>
      <c r="Z130" s="1" t="s">
        <v>39</v>
      </c>
      <c r="AA130" s="1" t="s">
        <v>761</v>
      </c>
      <c r="AB130" s="1" t="s">
        <v>762</v>
      </c>
      <c r="AC130" s="1" t="s">
        <v>14</v>
      </c>
      <c r="AD130" s="1" t="s">
        <v>53</v>
      </c>
      <c r="AE130" s="1" t="s">
        <v>160</v>
      </c>
      <c r="AF130" s="1" t="s">
        <v>763</v>
      </c>
      <c r="AG130" s="1" t="s">
        <v>764</v>
      </c>
      <c r="AH130" s="1" t="s">
        <v>26</v>
      </c>
      <c r="AI130" s="1" t="s">
        <v>523</v>
      </c>
      <c r="AJ130" s="1" t="s">
        <v>765</v>
      </c>
      <c r="AK130" s="1" t="s">
        <v>523</v>
      </c>
      <c r="AL130" s="1" t="s">
        <v>766</v>
      </c>
      <c r="AM130" s="1" t="s">
        <v>26</v>
      </c>
      <c r="AN130" s="1"/>
      <c r="AO130" s="1"/>
      <c r="AP130" s="1"/>
      <c r="AQ130" s="1" t="s">
        <v>35</v>
      </c>
      <c r="AR130" s="1" t="s">
        <v>1</v>
      </c>
      <c r="AS130" s="1">
        <v>0.19011406844106471</v>
      </c>
      <c r="AT130" s="1">
        <v>6.8823124569855468E-2</v>
      </c>
      <c r="AU130" s="1">
        <v>0.52356020942408377</v>
      </c>
      <c r="AV130" s="1" t="s">
        <v>1</v>
      </c>
      <c r="AW130" s="1">
        <v>0.2710027100271003</v>
      </c>
      <c r="AX130" s="1">
        <v>0.1150747986191024</v>
      </c>
      <c r="AY130" s="1">
        <v>0.63694267515923564</v>
      </c>
      <c r="AZ130" s="1" t="s">
        <v>767</v>
      </c>
      <c r="BA130" s="1" t="s">
        <v>1</v>
      </c>
      <c r="BB130" s="1">
        <v>0.19011406844106471</v>
      </c>
      <c r="BC130" s="1">
        <v>6.8823124569855468E-2</v>
      </c>
      <c r="BD130" s="1">
        <v>0.52356020942408377</v>
      </c>
      <c r="BE130" s="1" t="s">
        <v>767</v>
      </c>
      <c r="BF130" s="1" t="s">
        <v>768</v>
      </c>
    </row>
    <row r="131" spans="1:58" x14ac:dyDescent="0.25">
      <c r="A131" s="1" t="s">
        <v>757</v>
      </c>
      <c r="B131" s="1" t="s">
        <v>758</v>
      </c>
      <c r="C131" s="1" t="s">
        <v>759</v>
      </c>
      <c r="D131" s="1">
        <v>2017</v>
      </c>
      <c r="E131" s="1" t="b">
        <v>0</v>
      </c>
      <c r="F131" s="1" t="s">
        <v>1380</v>
      </c>
      <c r="G131" s="1" t="s">
        <v>1380</v>
      </c>
      <c r="H131" s="1" t="s">
        <v>22</v>
      </c>
      <c r="I131" s="1" t="s">
        <v>21</v>
      </c>
      <c r="J131" s="1" t="s">
        <v>20</v>
      </c>
      <c r="K131" s="1" t="s">
        <v>760</v>
      </c>
      <c r="L131" s="1" t="s">
        <v>760</v>
      </c>
      <c r="M131" s="1" t="s">
        <v>1522</v>
      </c>
      <c r="N131" s="1" t="s">
        <v>200</v>
      </c>
      <c r="O131" s="1" t="s">
        <v>744</v>
      </c>
      <c r="P131" s="1" t="s">
        <v>133</v>
      </c>
      <c r="Q131" s="1" t="s">
        <v>1527</v>
      </c>
      <c r="R131" s="1" t="s">
        <v>35</v>
      </c>
      <c r="S131" s="1" t="s">
        <v>21</v>
      </c>
      <c r="T131" s="1">
        <v>1</v>
      </c>
      <c r="U131" s="1" t="s">
        <v>112</v>
      </c>
      <c r="V131" s="1" t="s">
        <v>53</v>
      </c>
      <c r="W131" s="1" t="s">
        <v>13</v>
      </c>
      <c r="X131" s="1" t="s">
        <v>760</v>
      </c>
      <c r="Y131" s="1" t="s">
        <v>13</v>
      </c>
      <c r="Z131" s="1" t="s">
        <v>39</v>
      </c>
      <c r="AA131" s="1" t="s">
        <v>761</v>
      </c>
      <c r="AB131" s="1" t="s">
        <v>762</v>
      </c>
      <c r="AC131" s="1" t="s">
        <v>14</v>
      </c>
      <c r="AD131" s="1" t="s">
        <v>53</v>
      </c>
      <c r="AE131" s="1" t="s">
        <v>780</v>
      </c>
      <c r="AF131" s="1" t="s">
        <v>781</v>
      </c>
      <c r="AG131" s="1" t="s">
        <v>782</v>
      </c>
      <c r="AH131" s="1" t="s">
        <v>26</v>
      </c>
      <c r="AI131" s="1" t="s">
        <v>523</v>
      </c>
      <c r="AJ131" s="1" t="s">
        <v>765</v>
      </c>
      <c r="AK131" s="1" t="s">
        <v>523</v>
      </c>
      <c r="AL131" s="1" t="s">
        <v>766</v>
      </c>
      <c r="AM131" s="1" t="s">
        <v>26</v>
      </c>
      <c r="AN131" s="1"/>
      <c r="AO131" s="1"/>
      <c r="AP131" s="1"/>
      <c r="AQ131" s="1" t="s">
        <v>35</v>
      </c>
      <c r="AR131" s="1" t="s">
        <v>1</v>
      </c>
      <c r="AS131" s="1">
        <v>0.26881720430107531</v>
      </c>
      <c r="AT131" s="1">
        <v>0.1149425287356322</v>
      </c>
      <c r="AU131" s="1">
        <v>0.62893081761006286</v>
      </c>
      <c r="AV131" s="1" t="s">
        <v>1</v>
      </c>
      <c r="AW131" s="1">
        <v>0.28735632183908039</v>
      </c>
      <c r="AX131" s="1">
        <v>0.13698630136986301</v>
      </c>
      <c r="AY131" s="1">
        <v>0.60240963855421692</v>
      </c>
      <c r="AZ131" s="1" t="s">
        <v>767</v>
      </c>
      <c r="BA131" s="1" t="s">
        <v>1</v>
      </c>
      <c r="BB131" s="1">
        <v>0.26881720430107531</v>
      </c>
      <c r="BC131" s="1">
        <v>0.1149425287356322</v>
      </c>
      <c r="BD131" s="1">
        <v>0.62893081761006286</v>
      </c>
      <c r="BE131" s="1" t="s">
        <v>767</v>
      </c>
      <c r="BF131" s="1" t="s">
        <v>768</v>
      </c>
    </row>
    <row r="132" spans="1:58" x14ac:dyDescent="0.25">
      <c r="A132" s="1" t="s">
        <v>757</v>
      </c>
      <c r="B132" s="1" t="s">
        <v>758</v>
      </c>
      <c r="C132" s="1" t="s">
        <v>759</v>
      </c>
      <c r="D132" s="1">
        <v>2017</v>
      </c>
      <c r="E132" s="1" t="b">
        <v>0</v>
      </c>
      <c r="F132" s="1" t="s">
        <v>1380</v>
      </c>
      <c r="G132" s="1" t="s">
        <v>1380</v>
      </c>
      <c r="H132" s="1" t="s">
        <v>22</v>
      </c>
      <c r="I132" s="1" t="s">
        <v>21</v>
      </c>
      <c r="J132" s="1" t="s">
        <v>20</v>
      </c>
      <c r="K132" s="1" t="s">
        <v>760</v>
      </c>
      <c r="L132" s="1" t="s">
        <v>760</v>
      </c>
      <c r="M132" s="1" t="s">
        <v>1522</v>
      </c>
      <c r="N132" s="1" t="s">
        <v>200</v>
      </c>
      <c r="O132" s="1" t="s">
        <v>744</v>
      </c>
      <c r="P132" s="1" t="s">
        <v>133</v>
      </c>
      <c r="Q132" s="1" t="s">
        <v>1527</v>
      </c>
      <c r="R132" s="1" t="s">
        <v>35</v>
      </c>
      <c r="S132" s="1" t="s">
        <v>21</v>
      </c>
      <c r="T132" s="1">
        <v>1</v>
      </c>
      <c r="U132" s="1" t="s">
        <v>112</v>
      </c>
      <c r="V132" s="1" t="s">
        <v>53</v>
      </c>
      <c r="W132" s="1" t="s">
        <v>13</v>
      </c>
      <c r="X132" s="1" t="s">
        <v>760</v>
      </c>
      <c r="Y132" s="1" t="s">
        <v>13</v>
      </c>
      <c r="Z132" s="1" t="s">
        <v>39</v>
      </c>
      <c r="AA132" s="1" t="s">
        <v>761</v>
      </c>
      <c r="AB132" s="1" t="s">
        <v>762</v>
      </c>
      <c r="AC132" s="1" t="s">
        <v>14</v>
      </c>
      <c r="AD132" s="1" t="s">
        <v>53</v>
      </c>
      <c r="AE132" s="1" t="s">
        <v>63</v>
      </c>
      <c r="AF132" s="1" t="s">
        <v>73</v>
      </c>
      <c r="AG132" s="1">
        <v>8.3000000000000004E-2</v>
      </c>
      <c r="AH132" s="1" t="s">
        <v>26</v>
      </c>
      <c r="AI132" s="1" t="s">
        <v>523</v>
      </c>
      <c r="AJ132" s="1" t="s">
        <v>765</v>
      </c>
      <c r="AK132" s="1" t="s">
        <v>523</v>
      </c>
      <c r="AL132" s="1" t="s">
        <v>766</v>
      </c>
      <c r="AM132" s="1" t="s">
        <v>26</v>
      </c>
      <c r="AN132" s="1"/>
      <c r="AO132" s="1"/>
      <c r="AP132" s="1"/>
      <c r="AQ132" s="1" t="s">
        <v>35</v>
      </c>
      <c r="AR132" s="1" t="s">
        <v>1</v>
      </c>
      <c r="AS132" s="1">
        <v>0.46728971962616822</v>
      </c>
      <c r="AT132" s="1">
        <v>0.14265335235378029</v>
      </c>
      <c r="AU132" s="1">
        <v>1.5151515151515149</v>
      </c>
      <c r="AV132" s="1" t="s">
        <v>1</v>
      </c>
      <c r="AW132" s="1">
        <v>0.37313432835820892</v>
      </c>
      <c r="AX132" s="1">
        <v>0.12853470437017989</v>
      </c>
      <c r="AY132" s="1">
        <v>1.0869565217391299</v>
      </c>
      <c r="AZ132" s="1">
        <v>7.0000000000000007E-2</v>
      </c>
      <c r="BA132" s="1" t="s">
        <v>1</v>
      </c>
      <c r="BB132" s="1">
        <v>0.46728971962616822</v>
      </c>
      <c r="BC132" s="1">
        <v>0.14265335235378029</v>
      </c>
      <c r="BD132" s="1">
        <v>1.5151515151515149</v>
      </c>
      <c r="BE132" s="1" t="s">
        <v>788</v>
      </c>
      <c r="BF132" s="1" t="s">
        <v>768</v>
      </c>
    </row>
    <row r="133" spans="1:58" x14ac:dyDescent="0.25">
      <c r="A133" s="1" t="s">
        <v>757</v>
      </c>
      <c r="B133" s="1" t="s">
        <v>758</v>
      </c>
      <c r="C133" s="1" t="s">
        <v>759</v>
      </c>
      <c r="D133" s="1">
        <v>2017</v>
      </c>
      <c r="E133" s="1" t="b">
        <v>0</v>
      </c>
      <c r="F133" s="1" t="s">
        <v>1380</v>
      </c>
      <c r="G133" s="1" t="s">
        <v>1380</v>
      </c>
      <c r="H133" s="1" t="s">
        <v>22</v>
      </c>
      <c r="I133" s="1" t="s">
        <v>21</v>
      </c>
      <c r="J133" s="1" t="s">
        <v>20</v>
      </c>
      <c r="K133" s="1" t="s">
        <v>760</v>
      </c>
      <c r="L133" s="1" t="s">
        <v>760</v>
      </c>
      <c r="M133" s="1" t="s">
        <v>1522</v>
      </c>
      <c r="N133" s="1" t="s">
        <v>200</v>
      </c>
      <c r="O133" s="1" t="s">
        <v>744</v>
      </c>
      <c r="P133" s="1" t="s">
        <v>133</v>
      </c>
      <c r="Q133" s="1" t="s">
        <v>1527</v>
      </c>
      <c r="R133" s="1" t="s">
        <v>35</v>
      </c>
      <c r="S133" s="1" t="s">
        <v>21</v>
      </c>
      <c r="T133" s="1">
        <v>1</v>
      </c>
      <c r="U133" s="1" t="s">
        <v>112</v>
      </c>
      <c r="V133" s="1" t="s">
        <v>53</v>
      </c>
      <c r="W133" s="1" t="s">
        <v>13</v>
      </c>
      <c r="X133" s="1" t="s">
        <v>760</v>
      </c>
      <c r="Y133" s="1" t="s">
        <v>13</v>
      </c>
      <c r="Z133" s="1" t="s">
        <v>39</v>
      </c>
      <c r="AA133" s="1" t="s">
        <v>769</v>
      </c>
      <c r="AB133" s="1" t="s">
        <v>762</v>
      </c>
      <c r="AC133" s="1" t="s">
        <v>14</v>
      </c>
      <c r="AD133" s="1" t="s">
        <v>53</v>
      </c>
      <c r="AE133" s="1" t="s">
        <v>160</v>
      </c>
      <c r="AF133" s="1" t="s">
        <v>763</v>
      </c>
      <c r="AG133" s="1" t="s">
        <v>764</v>
      </c>
      <c r="AH133" s="1" t="s">
        <v>6</v>
      </c>
      <c r="AI133" s="1" t="s">
        <v>771</v>
      </c>
      <c r="AJ133" s="1" t="s">
        <v>772</v>
      </c>
      <c r="AK133" s="1" t="s">
        <v>523</v>
      </c>
      <c r="AL133" s="1" t="s">
        <v>773</v>
      </c>
      <c r="AM133" s="1" t="s">
        <v>6</v>
      </c>
      <c r="AN133" s="1"/>
      <c r="AO133" s="1"/>
      <c r="AP133" s="1"/>
      <c r="AQ133" s="1" t="s">
        <v>35</v>
      </c>
      <c r="AR133" s="1" t="s">
        <v>1</v>
      </c>
      <c r="AS133" s="1">
        <v>0.4504504504504504</v>
      </c>
      <c r="AT133" s="1">
        <v>0.1721170395869191</v>
      </c>
      <c r="AU133" s="1">
        <v>1.1764705882352939</v>
      </c>
      <c r="AV133" s="1" t="s">
        <v>1</v>
      </c>
      <c r="AW133" s="1">
        <v>0.48076923076923073</v>
      </c>
      <c r="AX133" s="1">
        <v>0.20703933747412009</v>
      </c>
      <c r="AY133" s="1">
        <v>1.1111111111111109</v>
      </c>
      <c r="AZ133" s="1" t="s">
        <v>774</v>
      </c>
      <c r="BA133" s="1" t="s">
        <v>1</v>
      </c>
      <c r="BB133" s="1">
        <v>0.4504504504504504</v>
      </c>
      <c r="BC133" s="1">
        <v>0.1721170395869191</v>
      </c>
      <c r="BD133" s="1">
        <v>1.1764705882352939</v>
      </c>
      <c r="BE133" s="1" t="s">
        <v>775</v>
      </c>
      <c r="BF133" s="1" t="s">
        <v>768</v>
      </c>
    </row>
    <row r="134" spans="1:58" x14ac:dyDescent="0.25">
      <c r="A134" s="1" t="s">
        <v>757</v>
      </c>
      <c r="B134" s="1" t="s">
        <v>758</v>
      </c>
      <c r="C134" s="1" t="s">
        <v>759</v>
      </c>
      <c r="D134" s="1">
        <v>2017</v>
      </c>
      <c r="E134" s="1" t="b">
        <v>0</v>
      </c>
      <c r="F134" s="1" t="s">
        <v>1380</v>
      </c>
      <c r="G134" s="1" t="s">
        <v>1380</v>
      </c>
      <c r="H134" s="1" t="s">
        <v>22</v>
      </c>
      <c r="I134" s="1" t="s">
        <v>21</v>
      </c>
      <c r="J134" s="1" t="s">
        <v>20</v>
      </c>
      <c r="K134" s="1" t="s">
        <v>760</v>
      </c>
      <c r="L134" s="1" t="s">
        <v>760</v>
      </c>
      <c r="M134" s="1" t="s">
        <v>1522</v>
      </c>
      <c r="N134" s="1" t="s">
        <v>200</v>
      </c>
      <c r="O134" s="1" t="s">
        <v>744</v>
      </c>
      <c r="P134" s="1" t="s">
        <v>133</v>
      </c>
      <c r="Q134" s="1" t="s">
        <v>1527</v>
      </c>
      <c r="R134" s="1" t="s">
        <v>35</v>
      </c>
      <c r="S134" s="1" t="s">
        <v>21</v>
      </c>
      <c r="T134" s="1">
        <v>1</v>
      </c>
      <c r="U134" s="1" t="s">
        <v>112</v>
      </c>
      <c r="V134" s="1" t="s">
        <v>53</v>
      </c>
      <c r="W134" s="1" t="s">
        <v>13</v>
      </c>
      <c r="X134" s="1" t="s">
        <v>760</v>
      </c>
      <c r="Y134" s="1" t="s">
        <v>13</v>
      </c>
      <c r="Z134" s="1" t="s">
        <v>39</v>
      </c>
      <c r="AA134" s="1" t="s">
        <v>783</v>
      </c>
      <c r="AB134" s="1" t="s">
        <v>762</v>
      </c>
      <c r="AC134" s="1" t="s">
        <v>14</v>
      </c>
      <c r="AD134" s="1" t="s">
        <v>53</v>
      </c>
      <c r="AE134" s="1" t="s">
        <v>780</v>
      </c>
      <c r="AF134" s="1" t="s">
        <v>781</v>
      </c>
      <c r="AG134" s="1" t="s">
        <v>782</v>
      </c>
      <c r="AH134" s="1" t="s">
        <v>6</v>
      </c>
      <c r="AI134" s="1" t="s">
        <v>771</v>
      </c>
      <c r="AJ134" s="1" t="s">
        <v>772</v>
      </c>
      <c r="AK134" s="1" t="s">
        <v>523</v>
      </c>
      <c r="AL134" s="1" t="s">
        <v>773</v>
      </c>
      <c r="AM134" s="1" t="s">
        <v>6</v>
      </c>
      <c r="AN134" s="1"/>
      <c r="AO134" s="1"/>
      <c r="AP134" s="1"/>
      <c r="AQ134" s="1" t="s">
        <v>35</v>
      </c>
      <c r="AR134" s="1" t="s">
        <v>1</v>
      </c>
      <c r="AS134" s="1">
        <v>0.3115264797507788</v>
      </c>
      <c r="AT134" s="1">
        <v>0.1360544217687075</v>
      </c>
      <c r="AU134" s="1">
        <v>0.7142857142857143</v>
      </c>
      <c r="AV134" s="1" t="s">
        <v>1</v>
      </c>
      <c r="AW134" s="1">
        <v>0.3125</v>
      </c>
      <c r="AX134" s="1">
        <v>0.15015015015015021</v>
      </c>
      <c r="AY134" s="1">
        <v>0.64935064935064934</v>
      </c>
      <c r="AZ134" s="1" t="s">
        <v>767</v>
      </c>
      <c r="BA134" s="1" t="s">
        <v>1</v>
      </c>
      <c r="BB134" s="1">
        <v>0.3115264797507788</v>
      </c>
      <c r="BC134" s="1">
        <v>0.1360544217687075</v>
      </c>
      <c r="BD134" s="1">
        <v>0.7142857142857143</v>
      </c>
      <c r="BE134" s="1" t="s">
        <v>767</v>
      </c>
      <c r="BF134" s="1" t="s">
        <v>768</v>
      </c>
    </row>
    <row r="135" spans="1:58" x14ac:dyDescent="0.25">
      <c r="A135" s="1" t="s">
        <v>757</v>
      </c>
      <c r="B135" s="1" t="s">
        <v>758</v>
      </c>
      <c r="C135" s="1" t="s">
        <v>759</v>
      </c>
      <c r="D135" s="1">
        <v>2017</v>
      </c>
      <c r="E135" s="1" t="b">
        <v>0</v>
      </c>
      <c r="F135" s="1" t="s">
        <v>1380</v>
      </c>
      <c r="G135" s="1" t="s">
        <v>1380</v>
      </c>
      <c r="H135" s="1" t="s">
        <v>22</v>
      </c>
      <c r="I135" s="1" t="s">
        <v>21</v>
      </c>
      <c r="J135" s="1" t="s">
        <v>20</v>
      </c>
      <c r="K135" s="1" t="s">
        <v>760</v>
      </c>
      <c r="L135" s="1" t="s">
        <v>760</v>
      </c>
      <c r="M135" s="1" t="s">
        <v>1522</v>
      </c>
      <c r="N135" s="1" t="s">
        <v>200</v>
      </c>
      <c r="O135" s="1" t="s">
        <v>744</v>
      </c>
      <c r="P135" s="1" t="s">
        <v>133</v>
      </c>
      <c r="Q135" s="1" t="s">
        <v>1527</v>
      </c>
      <c r="R135" s="1" t="s">
        <v>35</v>
      </c>
      <c r="S135" s="1" t="s">
        <v>21</v>
      </c>
      <c r="T135" s="1">
        <v>1</v>
      </c>
      <c r="U135" s="1" t="s">
        <v>112</v>
      </c>
      <c r="V135" s="1" t="s">
        <v>53</v>
      </c>
      <c r="W135" s="1" t="s">
        <v>13</v>
      </c>
      <c r="X135" s="1" t="s">
        <v>760</v>
      </c>
      <c r="Y135" s="1" t="s">
        <v>13</v>
      </c>
      <c r="Z135" s="1" t="s">
        <v>39</v>
      </c>
      <c r="AA135" s="1" t="s">
        <v>769</v>
      </c>
      <c r="AB135" s="1" t="s">
        <v>762</v>
      </c>
      <c r="AC135" s="1" t="s">
        <v>14</v>
      </c>
      <c r="AD135" s="1" t="s">
        <v>53</v>
      </c>
      <c r="AE135" s="1" t="s">
        <v>63</v>
      </c>
      <c r="AF135" s="1" t="s">
        <v>73</v>
      </c>
      <c r="AG135" s="1">
        <v>8.3000000000000004E-2</v>
      </c>
      <c r="AH135" s="1" t="s">
        <v>6</v>
      </c>
      <c r="AI135" s="1" t="s">
        <v>771</v>
      </c>
      <c r="AJ135" s="1" t="s">
        <v>772</v>
      </c>
      <c r="AK135" s="1" t="s">
        <v>523</v>
      </c>
      <c r="AL135" s="1" t="s">
        <v>773</v>
      </c>
      <c r="AM135" s="1" t="s">
        <v>6</v>
      </c>
      <c r="AN135" s="1"/>
      <c r="AO135" s="1"/>
      <c r="AP135" s="1"/>
      <c r="AQ135" s="1" t="s">
        <v>35</v>
      </c>
      <c r="AR135" s="1" t="s">
        <v>1</v>
      </c>
      <c r="AS135" s="1">
        <v>0.1834862385321101</v>
      </c>
      <c r="AT135" s="1">
        <v>5.0632911392405063E-2</v>
      </c>
      <c r="AU135" s="1">
        <v>0.66666666666666663</v>
      </c>
      <c r="AV135" s="1" t="s">
        <v>1</v>
      </c>
      <c r="AW135" s="1">
        <v>0.1834862385321101</v>
      </c>
      <c r="AX135" s="1">
        <v>5.0632911392405063E-2</v>
      </c>
      <c r="AY135" s="1">
        <v>0.66666666666666663</v>
      </c>
      <c r="AZ135" s="1" t="s">
        <v>60</v>
      </c>
      <c r="BA135" s="1" t="s">
        <v>1</v>
      </c>
      <c r="BB135" s="1">
        <v>0.1834862385321101</v>
      </c>
      <c r="BC135" s="1">
        <v>5.0632911392405063E-2</v>
      </c>
      <c r="BD135" s="1">
        <v>0.66666666666666663</v>
      </c>
      <c r="BE135" s="1" t="s">
        <v>775</v>
      </c>
      <c r="BF135" s="1" t="s">
        <v>768</v>
      </c>
    </row>
    <row r="136" spans="1:58" x14ac:dyDescent="0.25">
      <c r="A136" s="1" t="s">
        <v>757</v>
      </c>
      <c r="B136" s="1" t="s">
        <v>758</v>
      </c>
      <c r="C136" s="1" t="s">
        <v>759</v>
      </c>
      <c r="D136" s="1">
        <v>2017</v>
      </c>
      <c r="E136" s="1" t="b">
        <v>0</v>
      </c>
      <c r="F136" s="1" t="s">
        <v>1380</v>
      </c>
      <c r="G136" s="1" t="s">
        <v>1380</v>
      </c>
      <c r="H136" s="1" t="s">
        <v>22</v>
      </c>
      <c r="I136" s="1" t="s">
        <v>21</v>
      </c>
      <c r="J136" s="1" t="s">
        <v>20</v>
      </c>
      <c r="K136" s="1" t="s">
        <v>760</v>
      </c>
      <c r="L136" s="1" t="s">
        <v>760</v>
      </c>
      <c r="M136" s="1" t="s">
        <v>1522</v>
      </c>
      <c r="N136" s="1" t="s">
        <v>200</v>
      </c>
      <c r="O136" s="1" t="s">
        <v>744</v>
      </c>
      <c r="P136" s="1" t="s">
        <v>133</v>
      </c>
      <c r="Q136" s="1" t="s">
        <v>1527</v>
      </c>
      <c r="R136" s="1" t="s">
        <v>35</v>
      </c>
      <c r="S136" s="1" t="s">
        <v>21</v>
      </c>
      <c r="T136" s="1">
        <v>1</v>
      </c>
      <c r="U136" s="1" t="s">
        <v>112</v>
      </c>
      <c r="V136" s="1" t="s">
        <v>53</v>
      </c>
      <c r="W136" s="1" t="s">
        <v>13</v>
      </c>
      <c r="X136" s="1" t="s">
        <v>760</v>
      </c>
      <c r="Y136" s="1" t="s">
        <v>13</v>
      </c>
      <c r="Z136" s="1" t="s">
        <v>39</v>
      </c>
      <c r="AA136" s="1" t="s">
        <v>769</v>
      </c>
      <c r="AB136" s="1" t="s">
        <v>762</v>
      </c>
      <c r="AC136" s="1" t="s">
        <v>14</v>
      </c>
      <c r="AD136" s="1" t="s">
        <v>53</v>
      </c>
      <c r="AE136" s="1" t="s">
        <v>160</v>
      </c>
      <c r="AF136" s="1" t="s">
        <v>763</v>
      </c>
      <c r="AG136" s="1" t="s">
        <v>764</v>
      </c>
      <c r="AH136" s="1" t="s">
        <v>6</v>
      </c>
      <c r="AI136" s="1" t="s">
        <v>771</v>
      </c>
      <c r="AJ136" s="1" t="s">
        <v>776</v>
      </c>
      <c r="AK136" s="1" t="s">
        <v>28</v>
      </c>
      <c r="AL136" s="1" t="s">
        <v>777</v>
      </c>
      <c r="AM136" s="1" t="s">
        <v>6</v>
      </c>
      <c r="AN136" s="1"/>
      <c r="AO136" s="1"/>
      <c r="AP136" s="1"/>
      <c r="AQ136" s="1" t="s">
        <v>35</v>
      </c>
      <c r="AR136" s="1" t="s">
        <v>1</v>
      </c>
      <c r="AS136" s="1">
        <v>0.94339622641509424</v>
      </c>
      <c r="AT136" s="1">
        <v>0.37735849056603782</v>
      </c>
      <c r="AU136" s="1">
        <v>2.3809523809523809</v>
      </c>
      <c r="AV136" s="1" t="s">
        <v>1</v>
      </c>
      <c r="AW136" s="1">
        <v>0.82644628099173556</v>
      </c>
      <c r="AX136" s="1">
        <v>0.35211267605633811</v>
      </c>
      <c r="AY136" s="1">
        <v>1.9607843137254899</v>
      </c>
      <c r="AZ136" s="1" t="s">
        <v>778</v>
      </c>
      <c r="BA136" s="1" t="s">
        <v>1</v>
      </c>
      <c r="BB136" s="1">
        <v>0.94339622641509424</v>
      </c>
      <c r="BC136" s="1">
        <v>0.37735849056603782</v>
      </c>
      <c r="BD136" s="1">
        <v>2.3809523809523809</v>
      </c>
      <c r="BE136" s="1" t="s">
        <v>779</v>
      </c>
      <c r="BF136" s="1" t="s">
        <v>768</v>
      </c>
    </row>
    <row r="137" spans="1:58" x14ac:dyDescent="0.25">
      <c r="A137" s="1" t="s">
        <v>757</v>
      </c>
      <c r="B137" s="1" t="s">
        <v>758</v>
      </c>
      <c r="C137" s="1" t="s">
        <v>759</v>
      </c>
      <c r="D137" s="1">
        <v>2017</v>
      </c>
      <c r="E137" s="1" t="b">
        <v>0</v>
      </c>
      <c r="F137" s="1" t="s">
        <v>1380</v>
      </c>
      <c r="G137" s="1" t="s">
        <v>1380</v>
      </c>
      <c r="H137" s="1" t="s">
        <v>22</v>
      </c>
      <c r="I137" s="1" t="s">
        <v>21</v>
      </c>
      <c r="J137" s="1" t="s">
        <v>20</v>
      </c>
      <c r="K137" s="1" t="s">
        <v>760</v>
      </c>
      <c r="L137" s="1" t="s">
        <v>760</v>
      </c>
      <c r="M137" s="1" t="s">
        <v>1522</v>
      </c>
      <c r="N137" s="1" t="s">
        <v>200</v>
      </c>
      <c r="O137" s="1" t="s">
        <v>744</v>
      </c>
      <c r="P137" s="1" t="s">
        <v>133</v>
      </c>
      <c r="Q137" s="1" t="s">
        <v>1527</v>
      </c>
      <c r="R137" s="1" t="s">
        <v>35</v>
      </c>
      <c r="S137" s="1" t="s">
        <v>21</v>
      </c>
      <c r="T137" s="1">
        <v>1</v>
      </c>
      <c r="U137" s="1" t="s">
        <v>112</v>
      </c>
      <c r="V137" s="1" t="s">
        <v>53</v>
      </c>
      <c r="W137" s="1" t="s">
        <v>13</v>
      </c>
      <c r="X137" s="1" t="s">
        <v>760</v>
      </c>
      <c r="Y137" s="1" t="s">
        <v>13</v>
      </c>
      <c r="Z137" s="1" t="s">
        <v>39</v>
      </c>
      <c r="AA137" s="1" t="s">
        <v>783</v>
      </c>
      <c r="AB137" s="1" t="s">
        <v>762</v>
      </c>
      <c r="AC137" s="1" t="s">
        <v>14</v>
      </c>
      <c r="AD137" s="1" t="s">
        <v>53</v>
      </c>
      <c r="AE137" s="1" t="s">
        <v>780</v>
      </c>
      <c r="AF137" s="1" t="s">
        <v>781</v>
      </c>
      <c r="AG137" s="1" t="s">
        <v>782</v>
      </c>
      <c r="AH137" s="1" t="s">
        <v>6</v>
      </c>
      <c r="AI137" s="1" t="s">
        <v>771</v>
      </c>
      <c r="AJ137" s="1" t="s">
        <v>776</v>
      </c>
      <c r="AK137" s="1" t="s">
        <v>28</v>
      </c>
      <c r="AL137" s="1" t="s">
        <v>777</v>
      </c>
      <c r="AM137" s="1" t="s">
        <v>6</v>
      </c>
      <c r="AN137" s="1"/>
      <c r="AO137" s="1"/>
      <c r="AP137" s="1"/>
      <c r="AQ137" s="1" t="s">
        <v>35</v>
      </c>
      <c r="AR137" s="1" t="s">
        <v>1</v>
      </c>
      <c r="AS137" s="1">
        <v>0.9009009009009008</v>
      </c>
      <c r="AT137" s="1">
        <v>0.41152263374485593</v>
      </c>
      <c r="AU137" s="1">
        <v>2</v>
      </c>
      <c r="AV137" s="1" t="s">
        <v>1</v>
      </c>
      <c r="AW137" s="1">
        <v>0.8</v>
      </c>
      <c r="AX137" s="1">
        <v>0.38610038610038611</v>
      </c>
      <c r="AY137" s="1">
        <v>1.666666666666667</v>
      </c>
      <c r="AZ137" s="1" t="s">
        <v>785</v>
      </c>
      <c r="BA137" s="1" t="s">
        <v>1</v>
      </c>
      <c r="BB137" s="1">
        <v>0.9009009009009008</v>
      </c>
      <c r="BC137" s="1">
        <v>0.41152263374485593</v>
      </c>
      <c r="BD137" s="1">
        <v>2</v>
      </c>
      <c r="BE137" s="1" t="s">
        <v>223</v>
      </c>
      <c r="BF137" s="1" t="s">
        <v>768</v>
      </c>
    </row>
    <row r="138" spans="1:58" x14ac:dyDescent="0.25">
      <c r="A138" s="1" t="s">
        <v>757</v>
      </c>
      <c r="B138" s="1" t="s">
        <v>758</v>
      </c>
      <c r="C138" s="1" t="s">
        <v>759</v>
      </c>
      <c r="D138" s="1">
        <v>2017</v>
      </c>
      <c r="E138" s="1" t="b">
        <v>0</v>
      </c>
      <c r="F138" s="1" t="s">
        <v>1380</v>
      </c>
      <c r="G138" s="1" t="s">
        <v>1380</v>
      </c>
      <c r="H138" s="1" t="s">
        <v>22</v>
      </c>
      <c r="I138" s="1" t="s">
        <v>21</v>
      </c>
      <c r="J138" s="1" t="s">
        <v>20</v>
      </c>
      <c r="K138" s="1" t="s">
        <v>760</v>
      </c>
      <c r="L138" s="1" t="s">
        <v>760</v>
      </c>
      <c r="M138" s="1" t="s">
        <v>1522</v>
      </c>
      <c r="N138" s="1" t="s">
        <v>200</v>
      </c>
      <c r="O138" s="1" t="s">
        <v>744</v>
      </c>
      <c r="P138" s="1" t="s">
        <v>133</v>
      </c>
      <c r="Q138" s="1" t="s">
        <v>1527</v>
      </c>
      <c r="R138" s="1" t="s">
        <v>35</v>
      </c>
      <c r="S138" s="1" t="s">
        <v>21</v>
      </c>
      <c r="T138" s="1">
        <v>1</v>
      </c>
      <c r="U138" s="1" t="s">
        <v>112</v>
      </c>
      <c r="V138" s="1" t="s">
        <v>53</v>
      </c>
      <c r="W138" s="1" t="s">
        <v>13</v>
      </c>
      <c r="X138" s="1" t="s">
        <v>760</v>
      </c>
      <c r="Y138" s="1" t="s">
        <v>13</v>
      </c>
      <c r="Z138" s="1" t="s">
        <v>39</v>
      </c>
      <c r="AA138" s="1" t="s">
        <v>786</v>
      </c>
      <c r="AB138" s="1" t="s">
        <v>762</v>
      </c>
      <c r="AC138" s="1" t="s">
        <v>14</v>
      </c>
      <c r="AD138" s="1" t="s">
        <v>53</v>
      </c>
      <c r="AE138" s="1" t="s">
        <v>63</v>
      </c>
      <c r="AF138" s="1" t="s">
        <v>73</v>
      </c>
      <c r="AG138" s="1">
        <v>8.3000000000000004E-2</v>
      </c>
      <c r="AH138" s="1" t="s">
        <v>6</v>
      </c>
      <c r="AI138" s="1" t="s">
        <v>771</v>
      </c>
      <c r="AJ138" s="1" t="s">
        <v>776</v>
      </c>
      <c r="AK138" s="1" t="s">
        <v>28</v>
      </c>
      <c r="AL138" s="1" t="s">
        <v>777</v>
      </c>
      <c r="AM138" s="1" t="s">
        <v>6</v>
      </c>
      <c r="AN138" s="1"/>
      <c r="AO138" s="1"/>
      <c r="AP138" s="1"/>
      <c r="AQ138" s="1" t="s">
        <v>35</v>
      </c>
      <c r="AR138" s="1" t="s">
        <v>1</v>
      </c>
      <c r="AS138" s="1">
        <v>0.47169811320754712</v>
      </c>
      <c r="AT138" s="1">
        <v>0.17513134851138351</v>
      </c>
      <c r="AU138" s="1">
        <v>1.265822784810126</v>
      </c>
      <c r="AV138" s="1" t="s">
        <v>1</v>
      </c>
      <c r="AW138" s="1">
        <v>0.47169811320754712</v>
      </c>
      <c r="AX138" s="1">
        <v>0.1890359168241966</v>
      </c>
      <c r="AY138" s="1">
        <v>1.1764705882352939</v>
      </c>
      <c r="AZ138" s="1" t="s">
        <v>718</v>
      </c>
      <c r="BA138" s="1" t="s">
        <v>1</v>
      </c>
      <c r="BB138" s="1">
        <v>0.47169811320754712</v>
      </c>
      <c r="BC138" s="1">
        <v>0.17513134851138351</v>
      </c>
      <c r="BD138" s="1">
        <v>1.265822784810126</v>
      </c>
      <c r="BE138" s="1" t="s">
        <v>789</v>
      </c>
      <c r="BF138" s="1" t="s">
        <v>768</v>
      </c>
    </row>
    <row r="139" spans="1:58" x14ac:dyDescent="0.25">
      <c r="A139" s="1" t="s">
        <v>757</v>
      </c>
      <c r="B139" s="1" t="s">
        <v>758</v>
      </c>
      <c r="C139" s="1" t="s">
        <v>759</v>
      </c>
      <c r="D139" s="1">
        <v>2017</v>
      </c>
      <c r="E139" s="1" t="b">
        <v>0</v>
      </c>
      <c r="F139" s="1" t="s">
        <v>1380</v>
      </c>
      <c r="G139" s="1" t="s">
        <v>1380</v>
      </c>
      <c r="H139" s="1" t="s">
        <v>22</v>
      </c>
      <c r="I139" s="1" t="s">
        <v>21</v>
      </c>
      <c r="J139" s="1" t="s">
        <v>20</v>
      </c>
      <c r="K139" s="1" t="s">
        <v>760</v>
      </c>
      <c r="L139" s="1" t="s">
        <v>760</v>
      </c>
      <c r="M139" s="1" t="s">
        <v>1522</v>
      </c>
      <c r="N139" s="1" t="s">
        <v>200</v>
      </c>
      <c r="O139" s="1" t="s">
        <v>744</v>
      </c>
      <c r="P139" s="1" t="s">
        <v>133</v>
      </c>
      <c r="Q139" s="1" t="s">
        <v>1527</v>
      </c>
      <c r="R139" s="1" t="s">
        <v>35</v>
      </c>
      <c r="S139" s="1" t="s">
        <v>21</v>
      </c>
      <c r="T139" s="1">
        <v>1</v>
      </c>
      <c r="U139" s="1" t="s">
        <v>112</v>
      </c>
      <c r="V139" s="1" t="s">
        <v>53</v>
      </c>
      <c r="W139" s="1" t="s">
        <v>13</v>
      </c>
      <c r="X139" s="1" t="s">
        <v>760</v>
      </c>
      <c r="Y139" s="1" t="s">
        <v>13</v>
      </c>
      <c r="Z139" s="1" t="s">
        <v>39</v>
      </c>
      <c r="AA139" s="1" t="s">
        <v>769</v>
      </c>
      <c r="AB139" s="1" t="s">
        <v>762</v>
      </c>
      <c r="AC139" s="1" t="s">
        <v>14</v>
      </c>
      <c r="AD139" s="1" t="s">
        <v>53</v>
      </c>
      <c r="AE139" s="1" t="s">
        <v>160</v>
      </c>
      <c r="AF139" s="1" t="s">
        <v>763</v>
      </c>
      <c r="AG139" s="1" t="s">
        <v>764</v>
      </c>
      <c r="AH139" s="1" t="s">
        <v>6</v>
      </c>
      <c r="AI139" s="1" t="s">
        <v>30</v>
      </c>
      <c r="AJ139" s="1" t="s">
        <v>725</v>
      </c>
      <c r="AK139" s="1" t="s">
        <v>28</v>
      </c>
      <c r="AL139" s="1" t="s">
        <v>726</v>
      </c>
      <c r="AM139" s="1" t="s">
        <v>26</v>
      </c>
      <c r="AN139" s="1"/>
      <c r="AO139" s="1"/>
      <c r="AP139" s="1"/>
      <c r="AQ139" s="1" t="s">
        <v>35</v>
      </c>
      <c r="AR139" s="1" t="s">
        <v>1</v>
      </c>
      <c r="AS139" s="1">
        <v>0.24691358024691359</v>
      </c>
      <c r="AT139" s="1">
        <v>6.1124694376528121E-2</v>
      </c>
      <c r="AU139" s="1">
        <v>1</v>
      </c>
      <c r="AV139" s="1" t="s">
        <v>1</v>
      </c>
      <c r="AW139" s="1">
        <v>0.25252525252525249</v>
      </c>
      <c r="AX139" s="1">
        <v>7.9744816586921854E-2</v>
      </c>
      <c r="AY139" s="1">
        <v>0.8</v>
      </c>
      <c r="AZ139" s="1" t="s">
        <v>770</v>
      </c>
      <c r="BA139" s="1" t="s">
        <v>1</v>
      </c>
      <c r="BB139" s="1">
        <v>0.24691358024691359</v>
      </c>
      <c r="BC139" s="1">
        <v>6.1124694376528121E-2</v>
      </c>
      <c r="BD139" s="1">
        <v>1</v>
      </c>
      <c r="BE139" s="1" t="s">
        <v>709</v>
      </c>
      <c r="BF139" s="1" t="s">
        <v>768</v>
      </c>
    </row>
    <row r="140" spans="1:58" x14ac:dyDescent="0.25">
      <c r="A140" s="1" t="s">
        <v>757</v>
      </c>
      <c r="B140" s="1" t="s">
        <v>758</v>
      </c>
      <c r="C140" s="1" t="s">
        <v>759</v>
      </c>
      <c r="D140" s="1">
        <v>2017</v>
      </c>
      <c r="E140" s="1" t="b">
        <v>0</v>
      </c>
      <c r="F140" s="1" t="s">
        <v>1380</v>
      </c>
      <c r="G140" s="1" t="s">
        <v>1380</v>
      </c>
      <c r="H140" s="1" t="s">
        <v>22</v>
      </c>
      <c r="I140" s="1" t="s">
        <v>21</v>
      </c>
      <c r="J140" s="1" t="s">
        <v>20</v>
      </c>
      <c r="K140" s="1" t="s">
        <v>760</v>
      </c>
      <c r="L140" s="1" t="s">
        <v>760</v>
      </c>
      <c r="M140" s="1" t="s">
        <v>1522</v>
      </c>
      <c r="N140" s="1" t="s">
        <v>200</v>
      </c>
      <c r="O140" s="1" t="s">
        <v>744</v>
      </c>
      <c r="P140" s="1" t="s">
        <v>133</v>
      </c>
      <c r="Q140" s="1" t="s">
        <v>1527</v>
      </c>
      <c r="R140" s="1" t="s">
        <v>35</v>
      </c>
      <c r="S140" s="1" t="s">
        <v>21</v>
      </c>
      <c r="T140" s="1">
        <v>1</v>
      </c>
      <c r="U140" s="1" t="s">
        <v>112</v>
      </c>
      <c r="V140" s="1" t="s">
        <v>53</v>
      </c>
      <c r="W140" s="1" t="s">
        <v>13</v>
      </c>
      <c r="X140" s="1" t="s">
        <v>760</v>
      </c>
      <c r="Y140" s="1" t="s">
        <v>13</v>
      </c>
      <c r="Z140" s="1" t="s">
        <v>39</v>
      </c>
      <c r="AA140" s="1" t="s">
        <v>783</v>
      </c>
      <c r="AB140" s="1" t="s">
        <v>762</v>
      </c>
      <c r="AC140" s="1" t="s">
        <v>14</v>
      </c>
      <c r="AD140" s="1" t="s">
        <v>53</v>
      </c>
      <c r="AE140" s="1" t="s">
        <v>780</v>
      </c>
      <c r="AF140" s="1" t="s">
        <v>781</v>
      </c>
      <c r="AG140" s="1" t="s">
        <v>782</v>
      </c>
      <c r="AH140" s="1" t="s">
        <v>6</v>
      </c>
      <c r="AI140" s="1" t="s">
        <v>30</v>
      </c>
      <c r="AJ140" s="1" t="s">
        <v>725</v>
      </c>
      <c r="AK140" s="1" t="s">
        <v>28</v>
      </c>
      <c r="AL140" s="1" t="s">
        <v>726</v>
      </c>
      <c r="AM140" s="1" t="s">
        <v>26</v>
      </c>
      <c r="AN140" s="1"/>
      <c r="AO140" s="1"/>
      <c r="AP140" s="1"/>
      <c r="AQ140" s="1" t="s">
        <v>35</v>
      </c>
      <c r="AR140" s="1" t="s">
        <v>1</v>
      </c>
      <c r="AS140" s="1">
        <v>0.4065040650406504</v>
      </c>
      <c r="AT140" s="1">
        <v>0.1165501165501165</v>
      </c>
      <c r="AU140" s="1">
        <v>1.408450704225352</v>
      </c>
      <c r="AV140" s="1" t="s">
        <v>1</v>
      </c>
      <c r="AW140" s="1">
        <v>0.31645569620253161</v>
      </c>
      <c r="AX140" s="1">
        <v>0.1074113856068743</v>
      </c>
      <c r="AY140" s="1">
        <v>0.93457943925233644</v>
      </c>
      <c r="AZ140" s="1" t="s">
        <v>692</v>
      </c>
      <c r="BA140" s="1" t="s">
        <v>1</v>
      </c>
      <c r="BB140" s="1">
        <v>0.4065040650406504</v>
      </c>
      <c r="BC140" s="1">
        <v>0.1165501165501165</v>
      </c>
      <c r="BD140" s="1">
        <v>1.408450704225352</v>
      </c>
      <c r="BE140" s="1" t="s">
        <v>784</v>
      </c>
      <c r="BF140" s="1" t="s">
        <v>768</v>
      </c>
    </row>
    <row r="141" spans="1:58" x14ac:dyDescent="0.25">
      <c r="A141" s="1" t="s">
        <v>757</v>
      </c>
      <c r="B141" s="1" t="s">
        <v>758</v>
      </c>
      <c r="C141" s="1" t="s">
        <v>759</v>
      </c>
      <c r="D141" s="1">
        <v>2017</v>
      </c>
      <c r="E141" s="1" t="b">
        <v>0</v>
      </c>
      <c r="F141" s="1" t="s">
        <v>1380</v>
      </c>
      <c r="G141" s="1" t="s">
        <v>1380</v>
      </c>
      <c r="H141" s="1" t="s">
        <v>22</v>
      </c>
      <c r="I141" s="1" t="s">
        <v>21</v>
      </c>
      <c r="J141" s="1" t="s">
        <v>20</v>
      </c>
      <c r="K141" s="1" t="s">
        <v>760</v>
      </c>
      <c r="L141" s="1" t="s">
        <v>760</v>
      </c>
      <c r="M141" s="1" t="s">
        <v>1522</v>
      </c>
      <c r="N141" s="1" t="s">
        <v>200</v>
      </c>
      <c r="O141" s="1" t="s">
        <v>744</v>
      </c>
      <c r="P141" s="1" t="s">
        <v>133</v>
      </c>
      <c r="Q141" s="1" t="s">
        <v>1527</v>
      </c>
      <c r="R141" s="1" t="s">
        <v>35</v>
      </c>
      <c r="S141" s="1" t="s">
        <v>21</v>
      </c>
      <c r="T141" s="1">
        <v>1</v>
      </c>
      <c r="U141" s="1" t="s">
        <v>112</v>
      </c>
      <c r="V141" s="1" t="s">
        <v>53</v>
      </c>
      <c r="W141" s="1" t="s">
        <v>13</v>
      </c>
      <c r="X141" s="1" t="s">
        <v>760</v>
      </c>
      <c r="Y141" s="1" t="s">
        <v>13</v>
      </c>
      <c r="Z141" s="1" t="s">
        <v>39</v>
      </c>
      <c r="AA141" s="1" t="s">
        <v>786</v>
      </c>
      <c r="AB141" s="1" t="s">
        <v>762</v>
      </c>
      <c r="AC141" s="1" t="s">
        <v>14</v>
      </c>
      <c r="AD141" s="1" t="s">
        <v>53</v>
      </c>
      <c r="AE141" s="1" t="s">
        <v>63</v>
      </c>
      <c r="AF141" s="1" t="s">
        <v>73</v>
      </c>
      <c r="AG141" s="1">
        <v>8.3000000000000004E-2</v>
      </c>
      <c r="AH141" s="1" t="s">
        <v>6</v>
      </c>
      <c r="AI141" s="1" t="s">
        <v>30</v>
      </c>
      <c r="AJ141" s="1" t="s">
        <v>49</v>
      </c>
      <c r="AK141" s="1" t="s">
        <v>28</v>
      </c>
      <c r="AL141" s="1" t="s">
        <v>48</v>
      </c>
      <c r="AM141" s="1" t="s">
        <v>26</v>
      </c>
      <c r="AN141" s="1"/>
      <c r="AO141" s="1"/>
      <c r="AP141" s="1"/>
      <c r="AQ141" s="1" t="s">
        <v>35</v>
      </c>
      <c r="AR141" s="1" t="s">
        <v>1</v>
      </c>
      <c r="AS141" s="1">
        <v>0.4</v>
      </c>
      <c r="AT141" s="1">
        <v>0.04</v>
      </c>
      <c r="AU141" s="1">
        <v>3.9</v>
      </c>
      <c r="AV141" s="1" t="s">
        <v>1</v>
      </c>
      <c r="AW141" s="1">
        <v>0.86</v>
      </c>
      <c r="AX141" s="1">
        <v>0.11</v>
      </c>
      <c r="AY141" s="1">
        <v>6.97</v>
      </c>
      <c r="AZ141" s="1" t="s">
        <v>787</v>
      </c>
      <c r="BA141" s="1" t="s">
        <v>1</v>
      </c>
      <c r="BB141" s="1">
        <v>0.4</v>
      </c>
      <c r="BC141" s="1">
        <v>0.04</v>
      </c>
      <c r="BD141" s="1">
        <v>3.9</v>
      </c>
      <c r="BE141" s="1" t="s">
        <v>391</v>
      </c>
      <c r="BF141" s="1" t="s">
        <v>768</v>
      </c>
    </row>
    <row r="142" spans="1:58" x14ac:dyDescent="0.25">
      <c r="A142" s="1" t="s">
        <v>790</v>
      </c>
      <c r="B142" s="1" t="s">
        <v>791</v>
      </c>
      <c r="C142" s="1" t="s">
        <v>792</v>
      </c>
      <c r="D142" s="1">
        <v>2020</v>
      </c>
      <c r="E142" s="1" t="b">
        <v>0</v>
      </c>
      <c r="F142" s="1" t="s">
        <v>1381</v>
      </c>
      <c r="G142" s="1" t="s">
        <v>1380</v>
      </c>
      <c r="H142" s="1" t="s">
        <v>22</v>
      </c>
      <c r="I142" s="1" t="s">
        <v>21</v>
      </c>
      <c r="J142" s="1" t="s">
        <v>20</v>
      </c>
      <c r="K142" s="1">
        <v>958</v>
      </c>
      <c r="L142" s="1" t="s">
        <v>793</v>
      </c>
      <c r="M142" s="1" t="s">
        <v>18</v>
      </c>
      <c r="N142" s="1" t="s">
        <v>475</v>
      </c>
      <c r="O142" s="1" t="s">
        <v>476</v>
      </c>
      <c r="P142" s="1" t="s">
        <v>15</v>
      </c>
      <c r="Q142" s="1" t="s">
        <v>1526</v>
      </c>
      <c r="R142" s="1" t="s">
        <v>35</v>
      </c>
      <c r="S142" s="1" t="s">
        <v>21</v>
      </c>
      <c r="T142" s="1">
        <v>2</v>
      </c>
      <c r="U142" s="1" t="s">
        <v>67</v>
      </c>
      <c r="V142" s="1" t="s">
        <v>53</v>
      </c>
      <c r="W142" s="1" t="s">
        <v>13</v>
      </c>
      <c r="X142" s="1" t="s">
        <v>794</v>
      </c>
      <c r="Y142" s="1" t="s">
        <v>795</v>
      </c>
      <c r="Z142" s="1" t="s">
        <v>11</v>
      </c>
      <c r="AA142" s="1" t="s">
        <v>541</v>
      </c>
      <c r="AB142" s="1" t="s">
        <v>541</v>
      </c>
      <c r="AC142" s="1" t="s">
        <v>41</v>
      </c>
      <c r="AD142" s="1" t="s">
        <v>53</v>
      </c>
      <c r="AE142" s="1" t="s">
        <v>8</v>
      </c>
      <c r="AF142" s="1" t="s">
        <v>796</v>
      </c>
      <c r="AG142" s="1" t="s">
        <v>47</v>
      </c>
      <c r="AH142" s="1" t="s">
        <v>26</v>
      </c>
      <c r="AI142" s="1" t="s">
        <v>36</v>
      </c>
      <c r="AJ142" s="1" t="s">
        <v>157</v>
      </c>
      <c r="AK142" s="1"/>
      <c r="AL142" s="1"/>
      <c r="AM142" s="1"/>
      <c r="AN142" s="1"/>
      <c r="AO142" s="1"/>
      <c r="AP142" s="1"/>
      <c r="AQ142" s="1" t="s">
        <v>35</v>
      </c>
      <c r="AR142" s="1" t="s">
        <v>139</v>
      </c>
      <c r="AS142" s="1">
        <v>1.94</v>
      </c>
      <c r="AT142" s="1">
        <v>1.34</v>
      </c>
      <c r="AU142" s="1">
        <v>2.82</v>
      </c>
      <c r="AV142" s="1" t="s">
        <v>139</v>
      </c>
      <c r="AW142" s="1">
        <v>1.45</v>
      </c>
      <c r="AX142" s="1">
        <v>0.98</v>
      </c>
      <c r="AY142" s="1">
        <v>2.15</v>
      </c>
      <c r="AZ142" s="1">
        <v>6.0999999999999999E-2</v>
      </c>
      <c r="BA142" s="1" t="s">
        <v>139</v>
      </c>
      <c r="BB142" s="1">
        <v>1.94</v>
      </c>
      <c r="BC142" s="1">
        <v>1.34</v>
      </c>
      <c r="BD142" s="1">
        <v>2.82</v>
      </c>
      <c r="BE142" s="1" t="s">
        <v>60</v>
      </c>
      <c r="BF142" s="1" t="s">
        <v>797</v>
      </c>
    </row>
    <row r="143" spans="1:58" x14ac:dyDescent="0.25">
      <c r="A143" s="1" t="s">
        <v>1515</v>
      </c>
      <c r="B143" s="1" t="s">
        <v>1500</v>
      </c>
      <c r="C143" s="1" t="s">
        <v>798</v>
      </c>
      <c r="D143" s="1">
        <v>2018</v>
      </c>
      <c r="E143" s="1" t="b">
        <v>0</v>
      </c>
      <c r="F143" s="1" t="s">
        <v>1381</v>
      </c>
      <c r="G143" s="1" t="s">
        <v>1380</v>
      </c>
      <c r="H143" s="1" t="s">
        <v>1501</v>
      </c>
      <c r="I143" s="1" t="s">
        <v>21</v>
      </c>
      <c r="J143" s="1" t="s">
        <v>20</v>
      </c>
      <c r="K143" s="1">
        <v>408</v>
      </c>
      <c r="L143" s="1">
        <v>346</v>
      </c>
      <c r="M143" s="1" t="s">
        <v>942</v>
      </c>
      <c r="N143" s="1" t="s">
        <v>277</v>
      </c>
      <c r="O143" s="1" t="s">
        <v>276</v>
      </c>
      <c r="P143" s="1" t="s">
        <v>15</v>
      </c>
      <c r="Q143" s="1" t="s">
        <v>1526</v>
      </c>
      <c r="R143" s="1" t="s">
        <v>35</v>
      </c>
      <c r="S143" s="1" t="s">
        <v>21</v>
      </c>
      <c r="T143" s="1">
        <v>2</v>
      </c>
      <c r="U143" s="1" t="s">
        <v>145</v>
      </c>
      <c r="V143" s="1" t="s">
        <v>53</v>
      </c>
      <c r="W143" s="1">
        <v>1</v>
      </c>
      <c r="X143" s="1">
        <v>34</v>
      </c>
      <c r="Y143" s="1">
        <v>9.8000000000000004E-2</v>
      </c>
      <c r="Z143" s="1" t="s">
        <v>39</v>
      </c>
      <c r="AA143" s="1" t="s">
        <v>1510</v>
      </c>
      <c r="AB143" s="1" t="s">
        <v>1510</v>
      </c>
      <c r="AC143" s="1" t="s">
        <v>9</v>
      </c>
      <c r="AD143" s="1" t="s">
        <v>9</v>
      </c>
      <c r="AE143" s="1" t="s">
        <v>8</v>
      </c>
      <c r="AF143" s="1">
        <v>44</v>
      </c>
      <c r="AG143" s="1">
        <v>0.11</v>
      </c>
      <c r="AH143" s="1" t="s">
        <v>6</v>
      </c>
      <c r="AI143" s="1" t="s">
        <v>36</v>
      </c>
      <c r="AJ143" s="1" t="s">
        <v>807</v>
      </c>
      <c r="AK143" s="1"/>
      <c r="AL143" s="1"/>
      <c r="AM143" s="1"/>
      <c r="AN143" s="1"/>
      <c r="AO143" s="1"/>
      <c r="AP143" s="1"/>
      <c r="AQ143" s="1" t="s">
        <v>35</v>
      </c>
      <c r="AR143" s="1" t="s">
        <v>139</v>
      </c>
      <c r="AS143" s="1">
        <v>2.65</v>
      </c>
      <c r="AT143" s="1">
        <v>1.19</v>
      </c>
      <c r="AU143" s="1">
        <v>5.9</v>
      </c>
      <c r="AV143" s="1" t="s">
        <v>139</v>
      </c>
      <c r="AW143" s="1">
        <v>2.5099999999999998</v>
      </c>
      <c r="AX143" s="1">
        <v>1.1100000000000001</v>
      </c>
      <c r="AY143" s="1">
        <v>5.64</v>
      </c>
      <c r="AZ143" s="1">
        <v>2.7E-2</v>
      </c>
      <c r="BA143" s="1" t="s">
        <v>139</v>
      </c>
      <c r="BB143" s="1">
        <v>2.65</v>
      </c>
      <c r="BC143" s="1">
        <v>1.19</v>
      </c>
      <c r="BD143" s="1">
        <v>5.9</v>
      </c>
      <c r="BE143" s="1">
        <v>1.7000000000000001E-2</v>
      </c>
      <c r="BF143" s="1" t="s">
        <v>1511</v>
      </c>
    </row>
    <row r="144" spans="1:58" x14ac:dyDescent="0.25">
      <c r="A144" s="1" t="s">
        <v>1515</v>
      </c>
      <c r="B144" s="1" t="s">
        <v>1500</v>
      </c>
      <c r="C144" s="1" t="s">
        <v>798</v>
      </c>
      <c r="D144" s="1">
        <v>2018</v>
      </c>
      <c r="E144" s="1" t="b">
        <v>0</v>
      </c>
      <c r="F144" s="1" t="s">
        <v>1381</v>
      </c>
      <c r="G144" s="1" t="s">
        <v>1381</v>
      </c>
      <c r="H144" s="1" t="s">
        <v>1501</v>
      </c>
      <c r="I144" s="1" t="s">
        <v>21</v>
      </c>
      <c r="J144" s="1" t="s">
        <v>20</v>
      </c>
      <c r="K144" s="1">
        <v>408</v>
      </c>
      <c r="L144" s="1">
        <v>346</v>
      </c>
      <c r="M144" s="1" t="s">
        <v>942</v>
      </c>
      <c r="N144" s="1" t="s">
        <v>277</v>
      </c>
      <c r="O144" s="1" t="s">
        <v>276</v>
      </c>
      <c r="P144" s="1" t="s">
        <v>15</v>
      </c>
      <c r="Q144" s="1" t="s">
        <v>1526</v>
      </c>
      <c r="R144" s="1" t="s">
        <v>35</v>
      </c>
      <c r="S144" s="1" t="s">
        <v>21</v>
      </c>
      <c r="T144" s="1">
        <v>2</v>
      </c>
      <c r="U144" s="1" t="s">
        <v>145</v>
      </c>
      <c r="V144" s="1" t="s">
        <v>53</v>
      </c>
      <c r="W144" s="1">
        <v>1</v>
      </c>
      <c r="X144" s="1">
        <v>34</v>
      </c>
      <c r="Y144" s="1">
        <v>9.8000000000000004E-2</v>
      </c>
      <c r="Z144" s="1" t="s">
        <v>80</v>
      </c>
      <c r="AA144" s="1" t="s">
        <v>1507</v>
      </c>
      <c r="AB144" s="1" t="s">
        <v>1509</v>
      </c>
      <c r="AC144" s="1" t="s">
        <v>9</v>
      </c>
      <c r="AD144" s="1" t="s">
        <v>9</v>
      </c>
      <c r="AE144" s="1" t="s">
        <v>780</v>
      </c>
      <c r="AF144" s="1">
        <v>123</v>
      </c>
      <c r="AG144" s="1">
        <v>0.30299999999999999</v>
      </c>
      <c r="AH144" s="1" t="s">
        <v>26</v>
      </c>
      <c r="AI144" s="1" t="s">
        <v>36</v>
      </c>
      <c r="AJ144" s="1" t="s">
        <v>807</v>
      </c>
      <c r="AK144" s="1"/>
      <c r="AL144" s="1"/>
      <c r="AM144" s="1"/>
      <c r="AN144" s="1"/>
      <c r="AO144" s="1"/>
      <c r="AP144" s="1"/>
      <c r="AQ144" s="1" t="s">
        <v>35</v>
      </c>
      <c r="AR144" s="1" t="s">
        <v>139</v>
      </c>
      <c r="AS144" s="1">
        <v>1.89</v>
      </c>
      <c r="AT144" s="1">
        <v>1.1499999999999999</v>
      </c>
      <c r="AU144" s="1">
        <v>4.0999999999999996</v>
      </c>
      <c r="AV144" s="1" t="s">
        <v>139</v>
      </c>
      <c r="AW144" s="1">
        <v>2.04</v>
      </c>
      <c r="AX144" s="1">
        <v>1.27</v>
      </c>
      <c r="AY144" s="1">
        <v>4.2699999999999996</v>
      </c>
      <c r="AZ144" s="1">
        <v>3.0000000000000001E-3</v>
      </c>
      <c r="BA144" s="1" t="s">
        <v>139</v>
      </c>
      <c r="BB144" s="1">
        <v>1.89</v>
      </c>
      <c r="BC144" s="1">
        <v>1.1499999999999999</v>
      </c>
      <c r="BD144" s="1">
        <v>4.0999999999999996</v>
      </c>
      <c r="BE144" s="1">
        <v>1.2999999999999999E-2</v>
      </c>
      <c r="BF144" s="1" t="s">
        <v>1502</v>
      </c>
    </row>
    <row r="145" spans="1:58" x14ac:dyDescent="0.25">
      <c r="A145" s="1" t="s">
        <v>1515</v>
      </c>
      <c r="B145" s="1" t="s">
        <v>1500</v>
      </c>
      <c r="C145" s="1" t="s">
        <v>798</v>
      </c>
      <c r="D145" s="1">
        <v>2018</v>
      </c>
      <c r="E145" s="1" t="b">
        <v>0</v>
      </c>
      <c r="F145" s="1" t="s">
        <v>1381</v>
      </c>
      <c r="G145" s="1" t="s">
        <v>1381</v>
      </c>
      <c r="H145" s="1" t="s">
        <v>1501</v>
      </c>
      <c r="I145" s="1" t="s">
        <v>21</v>
      </c>
      <c r="J145" s="1" t="s">
        <v>20</v>
      </c>
      <c r="K145" s="1">
        <v>408</v>
      </c>
      <c r="L145" s="1">
        <v>346</v>
      </c>
      <c r="M145" s="1" t="s">
        <v>942</v>
      </c>
      <c r="N145" s="1" t="s">
        <v>277</v>
      </c>
      <c r="O145" s="1" t="s">
        <v>276</v>
      </c>
      <c r="P145" s="1" t="s">
        <v>15</v>
      </c>
      <c r="Q145" s="1" t="s">
        <v>1526</v>
      </c>
      <c r="R145" s="1" t="s">
        <v>35</v>
      </c>
      <c r="S145" s="1" t="s">
        <v>21</v>
      </c>
      <c r="T145" s="1">
        <v>2</v>
      </c>
      <c r="U145" s="1" t="s">
        <v>145</v>
      </c>
      <c r="V145" s="1" t="s">
        <v>53</v>
      </c>
      <c r="W145" s="1">
        <v>1</v>
      </c>
      <c r="X145" s="1">
        <v>34</v>
      </c>
      <c r="Y145" s="1">
        <v>9.8000000000000004E-2</v>
      </c>
      <c r="Z145" s="1" t="s">
        <v>80</v>
      </c>
      <c r="AA145" s="1" t="s">
        <v>928</v>
      </c>
      <c r="AB145" s="1" t="s">
        <v>929</v>
      </c>
      <c r="AC145" s="1" t="s">
        <v>9</v>
      </c>
      <c r="AD145" s="1" t="s">
        <v>9</v>
      </c>
      <c r="AE145" s="1" t="s">
        <v>74</v>
      </c>
      <c r="AF145" s="1">
        <v>183</v>
      </c>
      <c r="AG145" s="1">
        <v>0.45300000000000001</v>
      </c>
      <c r="AH145" s="1" t="s">
        <v>26</v>
      </c>
      <c r="AI145" s="1" t="s">
        <v>36</v>
      </c>
      <c r="AJ145" s="1" t="s">
        <v>807</v>
      </c>
      <c r="AK145" s="1"/>
      <c r="AL145" s="1"/>
      <c r="AM145" s="1"/>
      <c r="AN145" s="1"/>
      <c r="AO145" s="1"/>
      <c r="AP145" s="1"/>
      <c r="AQ145" s="1" t="s">
        <v>35</v>
      </c>
      <c r="AR145" s="1" t="s">
        <v>139</v>
      </c>
      <c r="AS145" s="1">
        <v>1.61</v>
      </c>
      <c r="AT145" s="1">
        <v>0.8</v>
      </c>
      <c r="AU145" s="1">
        <v>4.21</v>
      </c>
      <c r="AV145" s="1" t="s">
        <v>139</v>
      </c>
      <c r="AW145" s="1">
        <v>1.61</v>
      </c>
      <c r="AX145" s="1">
        <v>0.81</v>
      </c>
      <c r="AY145" s="1">
        <v>4.2</v>
      </c>
      <c r="AZ145" s="1">
        <v>0.17599999999999999</v>
      </c>
      <c r="BA145" s="1" t="s">
        <v>139</v>
      </c>
      <c r="BB145" s="1">
        <v>1.61</v>
      </c>
      <c r="BC145" s="1">
        <v>0.8</v>
      </c>
      <c r="BD145" s="1">
        <v>4.21</v>
      </c>
      <c r="BE145" s="1">
        <v>0.17799999999999999</v>
      </c>
      <c r="BF145" s="1" t="s">
        <v>1503</v>
      </c>
    </row>
    <row r="146" spans="1:58" x14ac:dyDescent="0.25">
      <c r="A146" s="1" t="s">
        <v>1515</v>
      </c>
      <c r="B146" s="1" t="s">
        <v>1500</v>
      </c>
      <c r="C146" s="1" t="s">
        <v>798</v>
      </c>
      <c r="D146" s="1">
        <v>2018</v>
      </c>
      <c r="E146" s="1" t="b">
        <v>0</v>
      </c>
      <c r="F146" s="1" t="s">
        <v>1381</v>
      </c>
      <c r="G146" s="1" t="s">
        <v>1381</v>
      </c>
      <c r="H146" s="1" t="s">
        <v>1501</v>
      </c>
      <c r="I146" s="1" t="s">
        <v>21</v>
      </c>
      <c r="J146" s="1" t="s">
        <v>20</v>
      </c>
      <c r="K146" s="1">
        <v>408</v>
      </c>
      <c r="L146" s="1">
        <v>346</v>
      </c>
      <c r="M146" s="1" t="s">
        <v>942</v>
      </c>
      <c r="N146" s="1" t="s">
        <v>277</v>
      </c>
      <c r="O146" s="1" t="s">
        <v>276</v>
      </c>
      <c r="P146" s="1" t="s">
        <v>15</v>
      </c>
      <c r="Q146" s="1" t="s">
        <v>1526</v>
      </c>
      <c r="R146" s="1" t="s">
        <v>35</v>
      </c>
      <c r="S146" s="1" t="s">
        <v>21</v>
      </c>
      <c r="T146" s="1">
        <v>2</v>
      </c>
      <c r="U146" s="1" t="s">
        <v>145</v>
      </c>
      <c r="V146" s="1" t="s">
        <v>53</v>
      </c>
      <c r="W146" s="1">
        <v>1</v>
      </c>
      <c r="X146" s="1">
        <v>34</v>
      </c>
      <c r="Y146" s="1">
        <v>9.8000000000000004E-2</v>
      </c>
      <c r="Z146" s="1" t="s">
        <v>11</v>
      </c>
      <c r="AA146" s="1" t="s">
        <v>1508</v>
      </c>
      <c r="AB146" s="1" t="s">
        <v>541</v>
      </c>
      <c r="AC146" s="1" t="s">
        <v>9</v>
      </c>
      <c r="AD146" s="1" t="s">
        <v>9</v>
      </c>
      <c r="AE146" s="1" t="s">
        <v>8</v>
      </c>
      <c r="AF146" s="1">
        <v>119</v>
      </c>
      <c r="AG146" s="1">
        <v>0.29599999999999999</v>
      </c>
      <c r="AH146" s="1" t="s">
        <v>26</v>
      </c>
      <c r="AI146" s="1" t="s">
        <v>36</v>
      </c>
      <c r="AJ146" s="1" t="s">
        <v>807</v>
      </c>
      <c r="AK146" s="1"/>
      <c r="AL146" s="1"/>
      <c r="AM146" s="1"/>
      <c r="AN146" s="1"/>
      <c r="AO146" s="1"/>
      <c r="AP146" s="1"/>
      <c r="AQ146" s="1" t="s">
        <v>35</v>
      </c>
      <c r="AR146" s="1" t="s">
        <v>139</v>
      </c>
      <c r="AS146" s="1">
        <v>1.44</v>
      </c>
      <c r="AT146" s="1">
        <v>0.81</v>
      </c>
      <c r="AU146" s="1">
        <v>2.56</v>
      </c>
      <c r="AV146" s="1" t="s">
        <v>139</v>
      </c>
      <c r="AW146" s="1">
        <v>1.56</v>
      </c>
      <c r="AX146" s="1">
        <v>0.89</v>
      </c>
      <c r="AY146" s="1">
        <v>2.72</v>
      </c>
      <c r="AZ146" s="1">
        <v>0.11899999999999999</v>
      </c>
      <c r="BA146" s="1" t="s">
        <v>139</v>
      </c>
      <c r="BB146" s="1">
        <v>1.44</v>
      </c>
      <c r="BC146" s="1">
        <v>0.81</v>
      </c>
      <c r="BD146" s="1">
        <v>2.56</v>
      </c>
      <c r="BE146" s="1">
        <v>0.20799999999999999</v>
      </c>
      <c r="BF146" s="1" t="s">
        <v>1502</v>
      </c>
    </row>
    <row r="147" spans="1:58" x14ac:dyDescent="0.25">
      <c r="A147" s="1" t="s">
        <v>1515</v>
      </c>
      <c r="B147" s="1" t="s">
        <v>1500</v>
      </c>
      <c r="C147" s="1" t="s">
        <v>798</v>
      </c>
      <c r="D147" s="1">
        <v>2018</v>
      </c>
      <c r="E147" s="1" t="b">
        <v>0</v>
      </c>
      <c r="F147" s="1" t="s">
        <v>1381</v>
      </c>
      <c r="G147" s="1" t="s">
        <v>1381</v>
      </c>
      <c r="H147" s="1" t="s">
        <v>1501</v>
      </c>
      <c r="I147" s="1" t="s">
        <v>21</v>
      </c>
      <c r="J147" s="1" t="s">
        <v>20</v>
      </c>
      <c r="K147" s="1">
        <v>408</v>
      </c>
      <c r="L147" s="1">
        <v>393</v>
      </c>
      <c r="M147" s="1" t="s">
        <v>942</v>
      </c>
      <c r="N147" s="1" t="s">
        <v>277</v>
      </c>
      <c r="O147" s="1" t="s">
        <v>276</v>
      </c>
      <c r="P147" s="1" t="s">
        <v>15</v>
      </c>
      <c r="Q147" s="1" t="s">
        <v>1526</v>
      </c>
      <c r="R147" s="1" t="s">
        <v>35</v>
      </c>
      <c r="S147" s="1" t="s">
        <v>21</v>
      </c>
      <c r="T147" s="1">
        <v>2</v>
      </c>
      <c r="U147" s="1" t="s">
        <v>145</v>
      </c>
      <c r="V147" s="1" t="s">
        <v>53</v>
      </c>
      <c r="W147" s="1">
        <v>1</v>
      </c>
      <c r="X147" s="1">
        <v>34</v>
      </c>
      <c r="Y147" s="1">
        <v>9.8000000000000004E-2</v>
      </c>
      <c r="Z147" s="1" t="s">
        <v>39</v>
      </c>
      <c r="AA147" s="1" t="s">
        <v>1510</v>
      </c>
      <c r="AB147" s="1" t="s">
        <v>1510</v>
      </c>
      <c r="AC147" s="1" t="s">
        <v>9</v>
      </c>
      <c r="AD147" s="1" t="s">
        <v>9</v>
      </c>
      <c r="AE147" s="1" t="s">
        <v>8</v>
      </c>
      <c r="AF147" s="1">
        <v>44</v>
      </c>
      <c r="AG147" s="1">
        <v>0.11</v>
      </c>
      <c r="AH147" s="1" t="s">
        <v>6</v>
      </c>
      <c r="AI147" s="1" t="s">
        <v>56</v>
      </c>
      <c r="AJ147" s="1" t="s">
        <v>109</v>
      </c>
      <c r="AK147" s="1"/>
      <c r="AL147" s="1"/>
      <c r="AM147" s="1"/>
      <c r="AN147" s="1"/>
      <c r="AO147" s="1" t="s">
        <v>108</v>
      </c>
      <c r="AP147" s="1" t="s">
        <v>53</v>
      </c>
      <c r="AQ147" s="1" t="s">
        <v>35</v>
      </c>
      <c r="AR147" s="1" t="s">
        <v>139</v>
      </c>
      <c r="AS147" s="1">
        <v>0.56000000000000005</v>
      </c>
      <c r="AT147" s="1">
        <v>0.37</v>
      </c>
      <c r="AU147" s="1">
        <v>0.85</v>
      </c>
      <c r="AV147" s="1" t="s">
        <v>139</v>
      </c>
      <c r="AW147" s="1">
        <v>0.56000000000000005</v>
      </c>
      <c r="AX147" s="1">
        <v>0.37</v>
      </c>
      <c r="AY147" s="1">
        <v>0.84</v>
      </c>
      <c r="AZ147" s="1">
        <v>6.0000000000000001E-3</v>
      </c>
      <c r="BA147" s="1" t="s">
        <v>139</v>
      </c>
      <c r="BB147" s="1">
        <v>0.56000000000000005</v>
      </c>
      <c r="BC147" s="1">
        <v>0.37</v>
      </c>
      <c r="BD147" s="1">
        <v>0.85</v>
      </c>
      <c r="BE147" s="1">
        <v>7.0000000000000001E-3</v>
      </c>
      <c r="BF147" s="1" t="s">
        <v>1511</v>
      </c>
    </row>
    <row r="148" spans="1:58" x14ac:dyDescent="0.25">
      <c r="A148" s="1" t="s">
        <v>1515</v>
      </c>
      <c r="B148" s="1" t="s">
        <v>1500</v>
      </c>
      <c r="C148" s="1" t="s">
        <v>798</v>
      </c>
      <c r="D148" s="1">
        <v>2018</v>
      </c>
      <c r="E148" s="1" t="b">
        <v>0</v>
      </c>
      <c r="F148" s="1" t="s">
        <v>1381</v>
      </c>
      <c r="G148" s="1" t="s">
        <v>1381</v>
      </c>
      <c r="H148" s="1" t="s">
        <v>1501</v>
      </c>
      <c r="I148" s="1" t="s">
        <v>21</v>
      </c>
      <c r="J148" s="1" t="s">
        <v>20</v>
      </c>
      <c r="K148" s="1">
        <v>408</v>
      </c>
      <c r="L148" s="1">
        <v>393</v>
      </c>
      <c r="M148" s="1" t="s">
        <v>942</v>
      </c>
      <c r="N148" s="1" t="s">
        <v>277</v>
      </c>
      <c r="O148" s="1" t="s">
        <v>276</v>
      </c>
      <c r="P148" s="1" t="s">
        <v>15</v>
      </c>
      <c r="Q148" s="1" t="s">
        <v>1526</v>
      </c>
      <c r="R148" s="1" t="s">
        <v>35</v>
      </c>
      <c r="S148" s="1" t="s">
        <v>21</v>
      </c>
      <c r="T148" s="1">
        <v>2</v>
      </c>
      <c r="U148" s="1" t="s">
        <v>145</v>
      </c>
      <c r="V148" s="1" t="s">
        <v>53</v>
      </c>
      <c r="W148" s="1">
        <v>1</v>
      </c>
      <c r="X148" s="1">
        <v>34</v>
      </c>
      <c r="Y148" s="1">
        <v>9.8000000000000004E-2</v>
      </c>
      <c r="Z148" s="1" t="s">
        <v>80</v>
      </c>
      <c r="AA148" s="1" t="s">
        <v>1507</v>
      </c>
      <c r="AB148" s="1" t="s">
        <v>1509</v>
      </c>
      <c r="AC148" s="1" t="s">
        <v>9</v>
      </c>
      <c r="AD148" s="1" t="s">
        <v>9</v>
      </c>
      <c r="AE148" s="1" t="s">
        <v>780</v>
      </c>
      <c r="AF148" s="1">
        <v>123</v>
      </c>
      <c r="AG148" s="1">
        <v>0.30299999999999999</v>
      </c>
      <c r="AH148" s="1" t="s">
        <v>6</v>
      </c>
      <c r="AI148" s="1" t="s">
        <v>56</v>
      </c>
      <c r="AJ148" s="1" t="s">
        <v>109</v>
      </c>
      <c r="AK148" s="1"/>
      <c r="AL148" s="1"/>
      <c r="AM148" s="1"/>
      <c r="AN148" s="1"/>
      <c r="AO148" s="1" t="s">
        <v>108</v>
      </c>
      <c r="AP148" s="1" t="s">
        <v>53</v>
      </c>
      <c r="AQ148" s="1" t="s">
        <v>35</v>
      </c>
      <c r="AR148" s="1" t="s">
        <v>139</v>
      </c>
      <c r="AS148" s="1">
        <v>0.84</v>
      </c>
      <c r="AT148" s="1">
        <v>0.68</v>
      </c>
      <c r="AU148" s="1">
        <v>1.03</v>
      </c>
      <c r="AV148" s="1" t="s">
        <v>139</v>
      </c>
      <c r="AW148" s="1">
        <v>0.83</v>
      </c>
      <c r="AX148" s="1">
        <v>0.68</v>
      </c>
      <c r="AY148" s="1">
        <v>1.01</v>
      </c>
      <c r="AZ148" s="1">
        <v>6.9000000000000006E-2</v>
      </c>
      <c r="BA148" s="1" t="s">
        <v>139</v>
      </c>
      <c r="BB148" s="1">
        <v>0.84</v>
      </c>
      <c r="BC148" s="1">
        <v>0.68</v>
      </c>
      <c r="BD148" s="1">
        <v>1.03</v>
      </c>
      <c r="BE148" s="1">
        <v>8.7999999999999995E-2</v>
      </c>
      <c r="BF148" s="1" t="s">
        <v>1502</v>
      </c>
    </row>
    <row r="149" spans="1:58" x14ac:dyDescent="0.25">
      <c r="A149" s="1" t="s">
        <v>1515</v>
      </c>
      <c r="B149" s="1" t="s">
        <v>1500</v>
      </c>
      <c r="C149" s="1" t="s">
        <v>798</v>
      </c>
      <c r="D149" s="1">
        <v>2018</v>
      </c>
      <c r="E149" s="1" t="b">
        <v>0</v>
      </c>
      <c r="F149" s="1" t="s">
        <v>1381</v>
      </c>
      <c r="G149" s="1" t="s">
        <v>1381</v>
      </c>
      <c r="H149" s="1" t="s">
        <v>1501</v>
      </c>
      <c r="I149" s="1" t="s">
        <v>21</v>
      </c>
      <c r="J149" s="1" t="s">
        <v>20</v>
      </c>
      <c r="K149" s="1">
        <v>408</v>
      </c>
      <c r="L149" s="1">
        <v>393</v>
      </c>
      <c r="M149" s="1" t="s">
        <v>942</v>
      </c>
      <c r="N149" s="1" t="s">
        <v>277</v>
      </c>
      <c r="O149" s="1" t="s">
        <v>276</v>
      </c>
      <c r="P149" s="1" t="s">
        <v>15</v>
      </c>
      <c r="Q149" s="1" t="s">
        <v>1526</v>
      </c>
      <c r="R149" s="1" t="s">
        <v>35</v>
      </c>
      <c r="S149" s="1" t="s">
        <v>21</v>
      </c>
      <c r="T149" s="1">
        <v>2</v>
      </c>
      <c r="U149" s="1" t="s">
        <v>145</v>
      </c>
      <c r="V149" s="1" t="s">
        <v>53</v>
      </c>
      <c r="W149" s="1">
        <v>1</v>
      </c>
      <c r="X149" s="1">
        <v>34</v>
      </c>
      <c r="Y149" s="1">
        <v>9.8000000000000004E-2</v>
      </c>
      <c r="Z149" s="1" t="s">
        <v>80</v>
      </c>
      <c r="AA149" s="1" t="s">
        <v>928</v>
      </c>
      <c r="AB149" s="1" t="s">
        <v>929</v>
      </c>
      <c r="AC149" s="1" t="s">
        <v>9</v>
      </c>
      <c r="AD149" s="1" t="s">
        <v>9</v>
      </c>
      <c r="AE149" s="1" t="s">
        <v>74</v>
      </c>
      <c r="AF149" s="1">
        <v>183</v>
      </c>
      <c r="AG149" s="1">
        <v>0.45300000000000001</v>
      </c>
      <c r="AH149" s="1" t="s">
        <v>6</v>
      </c>
      <c r="AI149" s="1" t="s">
        <v>56</v>
      </c>
      <c r="AJ149" s="1" t="s">
        <v>109</v>
      </c>
      <c r="AK149" s="1"/>
      <c r="AL149" s="1"/>
      <c r="AM149" s="1"/>
      <c r="AN149" s="1"/>
      <c r="AO149" s="1" t="s">
        <v>108</v>
      </c>
      <c r="AP149" s="1" t="s">
        <v>53</v>
      </c>
      <c r="AQ149" s="1" t="s">
        <v>35</v>
      </c>
      <c r="AR149" s="1" t="s">
        <v>139</v>
      </c>
      <c r="AS149" s="1">
        <v>0.84</v>
      </c>
      <c r="AT149" s="1">
        <v>0.68</v>
      </c>
      <c r="AU149" s="1">
        <v>1.04</v>
      </c>
      <c r="AV149" s="1" t="s">
        <v>139</v>
      </c>
      <c r="AW149" s="1">
        <v>0.85</v>
      </c>
      <c r="AX149" s="1">
        <v>0.69</v>
      </c>
      <c r="AY149" s="1">
        <v>1.04</v>
      </c>
      <c r="AZ149" s="1">
        <v>0.112</v>
      </c>
      <c r="BA149" s="1" t="s">
        <v>139</v>
      </c>
      <c r="BB149" s="1">
        <v>0.84</v>
      </c>
      <c r="BC149" s="1">
        <v>0.68</v>
      </c>
      <c r="BD149" s="1">
        <v>1.04</v>
      </c>
      <c r="BE149" s="1">
        <v>0.10299999999999999</v>
      </c>
      <c r="BF149" s="1" t="s">
        <v>1503</v>
      </c>
    </row>
    <row r="150" spans="1:58" x14ac:dyDescent="0.25">
      <c r="A150" s="1" t="s">
        <v>1515</v>
      </c>
      <c r="B150" s="1" t="s">
        <v>1500</v>
      </c>
      <c r="C150" s="1" t="s">
        <v>798</v>
      </c>
      <c r="D150" s="1">
        <v>2018</v>
      </c>
      <c r="E150" s="1" t="b">
        <v>0</v>
      </c>
      <c r="F150" s="1" t="s">
        <v>1381</v>
      </c>
      <c r="G150" s="1" t="s">
        <v>1381</v>
      </c>
      <c r="H150" s="1" t="s">
        <v>1501</v>
      </c>
      <c r="I150" s="1" t="s">
        <v>21</v>
      </c>
      <c r="J150" s="1" t="s">
        <v>20</v>
      </c>
      <c r="K150" s="1">
        <v>408</v>
      </c>
      <c r="L150" s="1">
        <v>393</v>
      </c>
      <c r="M150" s="1" t="s">
        <v>942</v>
      </c>
      <c r="N150" s="1" t="s">
        <v>277</v>
      </c>
      <c r="O150" s="1" t="s">
        <v>276</v>
      </c>
      <c r="P150" s="1" t="s">
        <v>15</v>
      </c>
      <c r="Q150" s="1" t="s">
        <v>1526</v>
      </c>
      <c r="R150" s="1" t="s">
        <v>35</v>
      </c>
      <c r="S150" s="1" t="s">
        <v>21</v>
      </c>
      <c r="T150" s="1">
        <v>2</v>
      </c>
      <c r="U150" s="1" t="s">
        <v>145</v>
      </c>
      <c r="V150" s="1" t="s">
        <v>53</v>
      </c>
      <c r="W150" s="1">
        <v>1</v>
      </c>
      <c r="X150" s="1">
        <v>34</v>
      </c>
      <c r="Y150" s="1">
        <v>9.8000000000000004E-2</v>
      </c>
      <c r="Z150" s="1" t="s">
        <v>11</v>
      </c>
      <c r="AA150" s="1" t="s">
        <v>1508</v>
      </c>
      <c r="AB150" s="1" t="s">
        <v>541</v>
      </c>
      <c r="AC150" s="1" t="s">
        <v>9</v>
      </c>
      <c r="AD150" s="1" t="s">
        <v>9</v>
      </c>
      <c r="AE150" s="1" t="s">
        <v>8</v>
      </c>
      <c r="AF150" s="1">
        <v>119</v>
      </c>
      <c r="AG150" s="1">
        <v>0.29599999999999999</v>
      </c>
      <c r="AH150" s="1" t="s">
        <v>6</v>
      </c>
      <c r="AI150" s="1" t="s">
        <v>56</v>
      </c>
      <c r="AJ150" s="1" t="s">
        <v>109</v>
      </c>
      <c r="AK150" s="1"/>
      <c r="AL150" s="1"/>
      <c r="AM150" s="1"/>
      <c r="AN150" s="1"/>
      <c r="AO150" s="1" t="s">
        <v>108</v>
      </c>
      <c r="AP150" s="1" t="s">
        <v>53</v>
      </c>
      <c r="AQ150" s="1" t="s">
        <v>35</v>
      </c>
      <c r="AR150" s="1" t="s">
        <v>139</v>
      </c>
      <c r="AS150" s="1">
        <v>0.82</v>
      </c>
      <c r="AT150" s="1">
        <v>0.66</v>
      </c>
      <c r="AU150" s="1">
        <v>1.01</v>
      </c>
      <c r="AV150" s="1" t="s">
        <v>139</v>
      </c>
      <c r="AW150" s="1">
        <v>0.81</v>
      </c>
      <c r="AX150" s="1">
        <v>0.66</v>
      </c>
      <c r="AY150" s="1">
        <v>1</v>
      </c>
      <c r="AZ150" s="1">
        <v>4.5999999999999999E-2</v>
      </c>
      <c r="BA150" s="1" t="s">
        <v>139</v>
      </c>
      <c r="BB150" s="1">
        <v>0.82</v>
      </c>
      <c r="BC150" s="1">
        <v>0.66</v>
      </c>
      <c r="BD150" s="1">
        <v>1.01</v>
      </c>
      <c r="BE150" s="1">
        <v>6.2E-2</v>
      </c>
      <c r="BF150" s="1" t="s">
        <v>1502</v>
      </c>
    </row>
    <row r="151" spans="1:58" x14ac:dyDescent="0.25">
      <c r="A151" s="1" t="s">
        <v>799</v>
      </c>
      <c r="B151" s="1" t="s">
        <v>800</v>
      </c>
      <c r="C151" s="1" t="s">
        <v>801</v>
      </c>
      <c r="D151" s="1">
        <v>2022</v>
      </c>
      <c r="E151" s="1" t="b">
        <v>0</v>
      </c>
      <c r="F151" s="1" t="s">
        <v>1381</v>
      </c>
      <c r="G151" s="1" t="s">
        <v>1380</v>
      </c>
      <c r="H151" s="1" t="s">
        <v>22</v>
      </c>
      <c r="I151" s="1" t="s">
        <v>21</v>
      </c>
      <c r="J151" s="1" t="s">
        <v>20</v>
      </c>
      <c r="K151" s="1" t="s">
        <v>802</v>
      </c>
      <c r="L151" s="1" t="s">
        <v>802</v>
      </c>
      <c r="M151" s="1" t="s">
        <v>148</v>
      </c>
      <c r="N151" s="1" t="s">
        <v>803</v>
      </c>
      <c r="O151" s="1" t="s">
        <v>42</v>
      </c>
      <c r="P151" s="1" t="s">
        <v>68</v>
      </c>
      <c r="Q151" s="1" t="s">
        <v>1527</v>
      </c>
      <c r="R151" s="1" t="s">
        <v>35</v>
      </c>
      <c r="S151" s="1" t="s">
        <v>21</v>
      </c>
      <c r="T151" s="1">
        <v>1</v>
      </c>
      <c r="U151" s="1" t="s">
        <v>67</v>
      </c>
      <c r="V151" s="1" t="s">
        <v>53</v>
      </c>
      <c r="W151" s="1" t="s">
        <v>13</v>
      </c>
      <c r="X151" s="1" t="s">
        <v>196</v>
      </c>
      <c r="Y151" s="1" t="s">
        <v>804</v>
      </c>
      <c r="Z151" s="1" t="s">
        <v>513</v>
      </c>
      <c r="AA151" s="1" t="s">
        <v>805</v>
      </c>
      <c r="AB151" s="1" t="s">
        <v>805</v>
      </c>
      <c r="AC151" s="1" t="s">
        <v>67</v>
      </c>
      <c r="AD151" s="1" t="s">
        <v>53</v>
      </c>
      <c r="AE151" s="1" t="s">
        <v>74</v>
      </c>
      <c r="AF151" s="1" t="s">
        <v>531</v>
      </c>
      <c r="AG151" s="1" t="s">
        <v>806</v>
      </c>
      <c r="AH151" s="1" t="s">
        <v>26</v>
      </c>
      <c r="AI151" s="1" t="s">
        <v>36</v>
      </c>
      <c r="AJ151" s="1" t="s">
        <v>807</v>
      </c>
      <c r="AK151" s="1"/>
      <c r="AL151" s="1"/>
      <c r="AM151" s="1"/>
      <c r="AN151" s="1"/>
      <c r="AO151" s="1"/>
      <c r="AP151" s="1"/>
      <c r="AQ151" s="1" t="s">
        <v>35</v>
      </c>
      <c r="AR151" s="1" t="s">
        <v>1</v>
      </c>
      <c r="AS151" s="1">
        <v>0.66</v>
      </c>
      <c r="AT151" s="1">
        <v>0.26</v>
      </c>
      <c r="AU151" s="1">
        <v>1.68</v>
      </c>
      <c r="AV151" s="1" t="s">
        <v>1</v>
      </c>
      <c r="AW151" s="1">
        <v>0.67</v>
      </c>
      <c r="AX151" s="1">
        <v>0.27</v>
      </c>
      <c r="AY151" s="1">
        <v>1.66</v>
      </c>
      <c r="AZ151" s="1" t="s">
        <v>569</v>
      </c>
      <c r="BA151" s="1" t="s">
        <v>1</v>
      </c>
      <c r="BB151" s="1">
        <v>0.66</v>
      </c>
      <c r="BC151" s="1">
        <v>0.26</v>
      </c>
      <c r="BD151" s="1">
        <v>1.68</v>
      </c>
      <c r="BE151" s="1" t="s">
        <v>808</v>
      </c>
      <c r="BF151" s="1" t="s">
        <v>809</v>
      </c>
    </row>
    <row r="152" spans="1:58" x14ac:dyDescent="0.25">
      <c r="A152" s="1" t="s">
        <v>799</v>
      </c>
      <c r="B152" s="1" t="s">
        <v>800</v>
      </c>
      <c r="C152" s="1" t="s">
        <v>801</v>
      </c>
      <c r="D152" s="1">
        <v>2022</v>
      </c>
      <c r="E152" s="1" t="b">
        <v>0</v>
      </c>
      <c r="F152" s="1" t="s">
        <v>1381</v>
      </c>
      <c r="G152" s="1" t="s">
        <v>1380</v>
      </c>
      <c r="H152" s="1" t="s">
        <v>22</v>
      </c>
      <c r="I152" s="1" t="s">
        <v>21</v>
      </c>
      <c r="J152" s="1" t="s">
        <v>20</v>
      </c>
      <c r="K152" s="1" t="s">
        <v>802</v>
      </c>
      <c r="L152" s="1" t="s">
        <v>802</v>
      </c>
      <c r="M152" s="1" t="s">
        <v>148</v>
      </c>
      <c r="N152" s="1" t="s">
        <v>803</v>
      </c>
      <c r="O152" s="1" t="s">
        <v>42</v>
      </c>
      <c r="P152" s="1" t="s">
        <v>68</v>
      </c>
      <c r="Q152" s="1" t="s">
        <v>1527</v>
      </c>
      <c r="R152" s="1" t="s">
        <v>35</v>
      </c>
      <c r="S152" s="1" t="s">
        <v>21</v>
      </c>
      <c r="T152" s="1">
        <v>1</v>
      </c>
      <c r="U152" s="1" t="s">
        <v>67</v>
      </c>
      <c r="V152" s="1" t="s">
        <v>53</v>
      </c>
      <c r="W152" s="1" t="s">
        <v>13</v>
      </c>
      <c r="X152" s="1" t="s">
        <v>196</v>
      </c>
      <c r="Y152" s="1" t="s">
        <v>804</v>
      </c>
      <c r="Z152" s="1" t="s">
        <v>513</v>
      </c>
      <c r="AA152" s="1" t="s">
        <v>810</v>
      </c>
      <c r="AB152" s="1" t="s">
        <v>810</v>
      </c>
      <c r="AC152" s="1" t="s">
        <v>67</v>
      </c>
      <c r="AD152" s="1" t="s">
        <v>53</v>
      </c>
      <c r="AE152" s="1" t="s">
        <v>74</v>
      </c>
      <c r="AF152" s="1" t="s">
        <v>83</v>
      </c>
      <c r="AG152" s="1" t="s">
        <v>811</v>
      </c>
      <c r="AH152" s="1" t="s">
        <v>26</v>
      </c>
      <c r="AI152" s="1" t="s">
        <v>36</v>
      </c>
      <c r="AJ152" s="1" t="s">
        <v>807</v>
      </c>
      <c r="AK152" s="1"/>
      <c r="AL152" s="1"/>
      <c r="AM152" s="1"/>
      <c r="AN152" s="1"/>
      <c r="AO152" s="1"/>
      <c r="AP152" s="1"/>
      <c r="AQ152" s="1" t="s">
        <v>35</v>
      </c>
      <c r="AR152" s="1" t="s">
        <v>1</v>
      </c>
      <c r="AS152" s="1">
        <v>1.26</v>
      </c>
      <c r="AT152" s="1">
        <v>0.68</v>
      </c>
      <c r="AU152" s="1">
        <v>2.37</v>
      </c>
      <c r="AV152" s="1" t="s">
        <v>1</v>
      </c>
      <c r="AW152" s="1">
        <v>1.26</v>
      </c>
      <c r="AX152" s="1">
        <v>0.68</v>
      </c>
      <c r="AY152" s="1">
        <v>2.3199999999999998</v>
      </c>
      <c r="AZ152" s="1" t="s">
        <v>812</v>
      </c>
      <c r="BA152" s="1" t="s">
        <v>1</v>
      </c>
      <c r="BB152" s="1">
        <v>1.26</v>
      </c>
      <c r="BC152" s="1">
        <v>0.68</v>
      </c>
      <c r="BD152" s="1">
        <v>2.37</v>
      </c>
      <c r="BE152" s="1" t="s">
        <v>813</v>
      </c>
      <c r="BF152" s="1" t="s">
        <v>809</v>
      </c>
    </row>
    <row r="153" spans="1:58" x14ac:dyDescent="0.25">
      <c r="A153" s="1" t="s">
        <v>814</v>
      </c>
      <c r="B153" s="1" t="s">
        <v>815</v>
      </c>
      <c r="C153" s="1" t="s">
        <v>816</v>
      </c>
      <c r="D153" s="1">
        <v>2024</v>
      </c>
      <c r="E153" s="1" t="b">
        <v>0</v>
      </c>
      <c r="F153" s="1" t="s">
        <v>1381</v>
      </c>
      <c r="G153" s="1" t="s">
        <v>1380</v>
      </c>
      <c r="H153" s="1" t="s">
        <v>22</v>
      </c>
      <c r="I153" s="1" t="s">
        <v>21</v>
      </c>
      <c r="J153" s="1" t="s">
        <v>386</v>
      </c>
      <c r="K153" s="1" t="s">
        <v>817</v>
      </c>
      <c r="L153" s="1" t="s">
        <v>817</v>
      </c>
      <c r="M153" s="1" t="s">
        <v>18</v>
      </c>
      <c r="N153" s="1" t="s">
        <v>636</v>
      </c>
      <c r="O153" s="1" t="s">
        <v>637</v>
      </c>
      <c r="P153" s="1" t="s">
        <v>15</v>
      </c>
      <c r="Q153" s="1" t="s">
        <v>1526</v>
      </c>
      <c r="R153" s="1" t="s">
        <v>35</v>
      </c>
      <c r="S153" s="1" t="s">
        <v>21</v>
      </c>
      <c r="T153" s="1">
        <v>2</v>
      </c>
      <c r="U153" s="1" t="s">
        <v>145</v>
      </c>
      <c r="V153" s="1" t="s">
        <v>53</v>
      </c>
      <c r="W153" s="1" t="s">
        <v>13</v>
      </c>
      <c r="X153" s="1" t="s">
        <v>818</v>
      </c>
      <c r="Y153" s="1">
        <v>3.322E-2</v>
      </c>
      <c r="Z153" s="1" t="s">
        <v>11</v>
      </c>
      <c r="AA153" s="1" t="s">
        <v>541</v>
      </c>
      <c r="AB153" s="1" t="s">
        <v>541</v>
      </c>
      <c r="AC153" s="1" t="s">
        <v>41</v>
      </c>
      <c r="AD153" s="1" t="s">
        <v>53</v>
      </c>
      <c r="AE153" s="1" t="s">
        <v>8</v>
      </c>
      <c r="AF153" s="1">
        <v>29</v>
      </c>
      <c r="AG153" s="1">
        <v>5.0699301000000002E-2</v>
      </c>
      <c r="AH153" s="1" t="s">
        <v>26</v>
      </c>
      <c r="AI153" s="1" t="s">
        <v>36</v>
      </c>
      <c r="AJ153" s="1" t="s">
        <v>819</v>
      </c>
      <c r="AK153" s="1"/>
      <c r="AL153" s="1"/>
      <c r="AM153" s="1"/>
      <c r="AN153" s="1"/>
      <c r="AO153" s="1"/>
      <c r="AP153" s="1"/>
      <c r="AQ153" s="1" t="s">
        <v>35</v>
      </c>
      <c r="AR153" s="1" t="s">
        <v>1</v>
      </c>
      <c r="AS153" s="1">
        <v>12.2</v>
      </c>
      <c r="AT153" s="1">
        <v>3.2</v>
      </c>
      <c r="AU153" s="1">
        <v>46.4</v>
      </c>
      <c r="AV153" s="1" t="s">
        <v>1</v>
      </c>
      <c r="AW153" s="1">
        <v>10.6</v>
      </c>
      <c r="AX153" s="1">
        <v>3.7</v>
      </c>
      <c r="AY153" s="1">
        <v>30.5</v>
      </c>
      <c r="AZ153" s="1" t="s">
        <v>60</v>
      </c>
      <c r="BA153" s="1" t="s">
        <v>1</v>
      </c>
      <c r="BB153" s="1">
        <v>12.2</v>
      </c>
      <c r="BC153" s="1">
        <v>3.2</v>
      </c>
      <c r="BD153" s="1">
        <v>46.4</v>
      </c>
      <c r="BE153" s="1" t="s">
        <v>60</v>
      </c>
      <c r="BF153" s="1" t="s">
        <v>820</v>
      </c>
    </row>
    <row r="154" spans="1:58" x14ac:dyDescent="0.25">
      <c r="A154" s="1" t="s">
        <v>821</v>
      </c>
      <c r="B154" s="1" t="s">
        <v>822</v>
      </c>
      <c r="C154" s="1" t="s">
        <v>823</v>
      </c>
      <c r="D154" s="1">
        <v>2022</v>
      </c>
      <c r="E154" s="1" t="b">
        <v>0</v>
      </c>
      <c r="F154" s="1" t="s">
        <v>1381</v>
      </c>
      <c r="G154" s="1" t="s">
        <v>1380</v>
      </c>
      <c r="H154" s="1" t="s">
        <v>22</v>
      </c>
      <c r="I154" s="1" t="s">
        <v>21</v>
      </c>
      <c r="J154" s="1" t="s">
        <v>20</v>
      </c>
      <c r="K154" s="1" t="s">
        <v>824</v>
      </c>
      <c r="L154" s="1">
        <v>715</v>
      </c>
      <c r="M154" s="1" t="s">
        <v>278</v>
      </c>
      <c r="N154" s="1" t="s">
        <v>830</v>
      </c>
      <c r="O154" s="1" t="s">
        <v>42</v>
      </c>
      <c r="P154" s="1" t="s">
        <v>15</v>
      </c>
      <c r="Q154" s="1" t="s">
        <v>1526</v>
      </c>
      <c r="R154" s="1" t="s">
        <v>2</v>
      </c>
      <c r="S154" s="1" t="s">
        <v>21</v>
      </c>
      <c r="T154" s="1">
        <v>1</v>
      </c>
      <c r="U154" s="1" t="s">
        <v>41</v>
      </c>
      <c r="V154" s="1" t="s">
        <v>53</v>
      </c>
      <c r="W154" s="1" t="s">
        <v>13</v>
      </c>
      <c r="X154" s="1" t="s">
        <v>825</v>
      </c>
      <c r="Y154" s="1" t="s">
        <v>705</v>
      </c>
      <c r="Z154" s="1" t="s">
        <v>80</v>
      </c>
      <c r="AA154" s="1" t="s">
        <v>831</v>
      </c>
      <c r="AB154" s="1" t="s">
        <v>80</v>
      </c>
      <c r="AC154" s="1" t="s">
        <v>9</v>
      </c>
      <c r="AD154" s="1" t="s">
        <v>9</v>
      </c>
      <c r="AE154" s="1" t="s">
        <v>160</v>
      </c>
      <c r="AF154" s="1" t="s">
        <v>723</v>
      </c>
      <c r="AG154" s="1" t="s">
        <v>832</v>
      </c>
      <c r="AH154" s="1" t="s">
        <v>26</v>
      </c>
      <c r="AI154" s="1" t="s">
        <v>36</v>
      </c>
      <c r="AJ154" s="1" t="s">
        <v>36</v>
      </c>
      <c r="AK154" s="1"/>
      <c r="AL154" s="1"/>
      <c r="AM154" s="1"/>
      <c r="AN154" s="1"/>
      <c r="AO154" s="1"/>
      <c r="AP154" s="1"/>
      <c r="AQ154" s="1" t="s">
        <v>2</v>
      </c>
      <c r="AR154" s="1" t="s">
        <v>1</v>
      </c>
      <c r="AS154" s="1">
        <v>1.03</v>
      </c>
      <c r="AT154" s="1">
        <v>0.62</v>
      </c>
      <c r="AU154" s="1">
        <v>1.71</v>
      </c>
      <c r="AV154" s="1" t="s">
        <v>1</v>
      </c>
      <c r="AW154" s="1">
        <v>1.03</v>
      </c>
      <c r="AX154" s="1">
        <v>0.62</v>
      </c>
      <c r="AY154" s="1">
        <v>1.71</v>
      </c>
      <c r="AZ154" s="1" t="s">
        <v>833</v>
      </c>
      <c r="BA154" s="1" t="s">
        <v>0</v>
      </c>
      <c r="BB154" s="1"/>
      <c r="BC154" s="1"/>
      <c r="BD154" s="1"/>
      <c r="BE154" s="1" t="s">
        <v>0</v>
      </c>
      <c r="BF154" s="1" t="s">
        <v>0</v>
      </c>
    </row>
    <row r="155" spans="1:58" x14ac:dyDescent="0.25">
      <c r="A155" s="1" t="s">
        <v>821</v>
      </c>
      <c r="B155" s="1" t="s">
        <v>822</v>
      </c>
      <c r="C155" s="1" t="s">
        <v>823</v>
      </c>
      <c r="D155" s="1">
        <v>2022</v>
      </c>
      <c r="E155" s="1" t="b">
        <v>0</v>
      </c>
      <c r="F155" s="1" t="s">
        <v>1381</v>
      </c>
      <c r="G155" s="1" t="s">
        <v>1380</v>
      </c>
      <c r="H155" s="1" t="s">
        <v>22</v>
      </c>
      <c r="I155" s="1" t="s">
        <v>21</v>
      </c>
      <c r="J155" s="1" t="s">
        <v>20</v>
      </c>
      <c r="K155" s="1" t="s">
        <v>824</v>
      </c>
      <c r="L155" s="1">
        <v>715</v>
      </c>
      <c r="M155" s="1" t="s">
        <v>278</v>
      </c>
      <c r="N155" s="1" t="s">
        <v>730</v>
      </c>
      <c r="O155" s="1" t="s">
        <v>42</v>
      </c>
      <c r="P155" s="1" t="s">
        <v>15</v>
      </c>
      <c r="Q155" s="1" t="s">
        <v>1526</v>
      </c>
      <c r="R155" s="1" t="s">
        <v>2</v>
      </c>
      <c r="S155" s="1" t="s">
        <v>21</v>
      </c>
      <c r="T155" s="1">
        <v>1</v>
      </c>
      <c r="U155" s="1" t="s">
        <v>41</v>
      </c>
      <c r="V155" s="1" t="s">
        <v>53</v>
      </c>
      <c r="W155" s="1" t="s">
        <v>13</v>
      </c>
      <c r="X155" s="1" t="s">
        <v>825</v>
      </c>
      <c r="Y155" s="1" t="s">
        <v>705</v>
      </c>
      <c r="Z155" s="1" t="s">
        <v>11</v>
      </c>
      <c r="AA155" s="1" t="s">
        <v>826</v>
      </c>
      <c r="AB155" s="1" t="s">
        <v>541</v>
      </c>
      <c r="AC155" s="1" t="s">
        <v>9</v>
      </c>
      <c r="AD155" s="1" t="s">
        <v>9</v>
      </c>
      <c r="AE155" s="1" t="s">
        <v>8</v>
      </c>
      <c r="AF155" s="1" t="s">
        <v>827</v>
      </c>
      <c r="AG155" s="1" t="s">
        <v>828</v>
      </c>
      <c r="AH155" s="1" t="s">
        <v>26</v>
      </c>
      <c r="AI155" s="1" t="s">
        <v>36</v>
      </c>
      <c r="AJ155" s="1" t="s">
        <v>36</v>
      </c>
      <c r="AK155" s="1"/>
      <c r="AL155" s="1"/>
      <c r="AM155" s="1"/>
      <c r="AN155" s="1"/>
      <c r="AO155" s="1"/>
      <c r="AP155" s="1"/>
      <c r="AQ155" s="1" t="s">
        <v>2</v>
      </c>
      <c r="AR155" s="1" t="s">
        <v>1</v>
      </c>
      <c r="AS155" s="1">
        <v>1.1299999999999999</v>
      </c>
      <c r="AT155" s="1">
        <v>0.64</v>
      </c>
      <c r="AU155" s="1">
        <v>2</v>
      </c>
      <c r="AV155" s="1" t="s">
        <v>1</v>
      </c>
      <c r="AW155" s="1">
        <v>1.1299999999999999</v>
      </c>
      <c r="AX155" s="1">
        <v>0.64</v>
      </c>
      <c r="AY155" s="1">
        <v>2</v>
      </c>
      <c r="AZ155" s="1" t="s">
        <v>829</v>
      </c>
      <c r="BA155" s="1" t="s">
        <v>0</v>
      </c>
      <c r="BB155" s="1"/>
      <c r="BC155" s="1"/>
      <c r="BD155" s="1"/>
      <c r="BE155" s="1" t="s">
        <v>0</v>
      </c>
      <c r="BF155" s="1" t="s">
        <v>0</v>
      </c>
    </row>
    <row r="156" spans="1:58" x14ac:dyDescent="0.25">
      <c r="A156" s="1" t="s">
        <v>834</v>
      </c>
      <c r="B156" s="1" t="s">
        <v>835</v>
      </c>
      <c r="C156" s="1" t="s">
        <v>836</v>
      </c>
      <c r="D156" s="1">
        <v>2017</v>
      </c>
      <c r="E156" s="1" t="b">
        <v>0</v>
      </c>
      <c r="F156" s="1" t="s">
        <v>1380</v>
      </c>
      <c r="G156" s="1" t="s">
        <v>1380</v>
      </c>
      <c r="H156" s="1" t="s">
        <v>22</v>
      </c>
      <c r="I156" s="1" t="s">
        <v>21</v>
      </c>
      <c r="J156" s="1" t="s">
        <v>118</v>
      </c>
      <c r="K156" s="1" t="s">
        <v>837</v>
      </c>
      <c r="L156" s="1">
        <v>1112</v>
      </c>
      <c r="M156" s="1" t="s">
        <v>260</v>
      </c>
      <c r="N156" s="1" t="s">
        <v>218</v>
      </c>
      <c r="O156" s="1" t="s">
        <v>217</v>
      </c>
      <c r="P156" s="1" t="s">
        <v>15</v>
      </c>
      <c r="Q156" s="1" t="s">
        <v>1526</v>
      </c>
      <c r="R156" s="1" t="s">
        <v>2</v>
      </c>
      <c r="S156" s="1" t="s">
        <v>21</v>
      </c>
      <c r="T156" s="1">
        <v>1</v>
      </c>
      <c r="U156" s="1" t="s">
        <v>145</v>
      </c>
      <c r="V156" s="1" t="s">
        <v>53</v>
      </c>
      <c r="W156" s="1" t="s">
        <v>13</v>
      </c>
      <c r="X156" s="1" t="s">
        <v>838</v>
      </c>
      <c r="Y156" s="1" t="s">
        <v>839</v>
      </c>
      <c r="Z156" s="1" t="s">
        <v>39</v>
      </c>
      <c r="AA156" s="1" t="s">
        <v>840</v>
      </c>
      <c r="AB156" s="1" t="s">
        <v>841</v>
      </c>
      <c r="AC156" s="1" t="s">
        <v>9</v>
      </c>
      <c r="AD156" s="1" t="s">
        <v>9</v>
      </c>
      <c r="AE156" s="1" t="s">
        <v>8</v>
      </c>
      <c r="AF156" s="1" t="s">
        <v>842</v>
      </c>
      <c r="AG156" s="1" t="s">
        <v>843</v>
      </c>
      <c r="AH156" s="1" t="s">
        <v>26</v>
      </c>
      <c r="AI156" s="1" t="s">
        <v>36</v>
      </c>
      <c r="AJ156" s="1" t="s">
        <v>844</v>
      </c>
      <c r="AK156" s="1"/>
      <c r="AL156" s="1"/>
      <c r="AM156" s="1"/>
      <c r="AN156" s="1"/>
      <c r="AO156" s="1"/>
      <c r="AP156" s="1"/>
      <c r="AQ156" s="1" t="s">
        <v>2</v>
      </c>
      <c r="AR156" s="1" t="s">
        <v>1</v>
      </c>
      <c r="AS156" s="1">
        <v>1</v>
      </c>
      <c r="AT156" s="1">
        <v>0.8</v>
      </c>
      <c r="AU156" s="1">
        <v>1.2</v>
      </c>
      <c r="AV156" s="1" t="s">
        <v>1</v>
      </c>
      <c r="AW156" s="1">
        <v>1</v>
      </c>
      <c r="AX156" s="1">
        <v>0.8</v>
      </c>
      <c r="AY156" s="1">
        <v>1.2</v>
      </c>
      <c r="AZ156" s="1" t="s">
        <v>0</v>
      </c>
      <c r="BA156" s="1" t="s">
        <v>0</v>
      </c>
      <c r="BB156" s="1"/>
      <c r="BC156" s="1"/>
      <c r="BD156" s="1"/>
      <c r="BE156" s="1" t="s">
        <v>0</v>
      </c>
      <c r="BF156" s="1" t="s">
        <v>0</v>
      </c>
    </row>
    <row r="157" spans="1:58" x14ac:dyDescent="0.25">
      <c r="A157" s="1" t="s">
        <v>845</v>
      </c>
      <c r="B157" s="1" t="s">
        <v>846</v>
      </c>
      <c r="C157" s="1" t="s">
        <v>836</v>
      </c>
      <c r="D157" s="1">
        <v>2019</v>
      </c>
      <c r="E157" s="1" t="b">
        <v>0</v>
      </c>
      <c r="F157" s="1" t="s">
        <v>1381</v>
      </c>
      <c r="G157" s="1" t="s">
        <v>1380</v>
      </c>
      <c r="H157" s="1" t="s">
        <v>22</v>
      </c>
      <c r="I157" s="1" t="s">
        <v>21</v>
      </c>
      <c r="J157" s="1" t="s">
        <v>118</v>
      </c>
      <c r="K157" s="1" t="s">
        <v>847</v>
      </c>
      <c r="L157" s="1" t="s">
        <v>847</v>
      </c>
      <c r="M157" s="1" t="s">
        <v>260</v>
      </c>
      <c r="N157" s="1" t="s">
        <v>218</v>
      </c>
      <c r="O157" s="1" t="s">
        <v>42</v>
      </c>
      <c r="P157" s="1" t="s">
        <v>15</v>
      </c>
      <c r="Q157" s="1" t="s">
        <v>1526</v>
      </c>
      <c r="R157" s="1" t="s">
        <v>2</v>
      </c>
      <c r="S157" s="1" t="s">
        <v>21</v>
      </c>
      <c r="T157" s="1">
        <v>1</v>
      </c>
      <c r="U157" s="1" t="s">
        <v>145</v>
      </c>
      <c r="V157" s="1" t="s">
        <v>53</v>
      </c>
      <c r="W157" s="1" t="s">
        <v>13</v>
      </c>
      <c r="X157" s="1" t="s">
        <v>848</v>
      </c>
      <c r="Y157" s="1" t="s">
        <v>849</v>
      </c>
      <c r="Z157" s="1" t="s">
        <v>80</v>
      </c>
      <c r="AA157" s="1" t="s">
        <v>80</v>
      </c>
      <c r="AB157" s="1" t="s">
        <v>80</v>
      </c>
      <c r="AC157" s="1" t="s">
        <v>9</v>
      </c>
      <c r="AD157" s="1" t="s">
        <v>9</v>
      </c>
      <c r="AE157" s="1" t="s">
        <v>8</v>
      </c>
      <c r="AF157" s="1" t="s">
        <v>852</v>
      </c>
      <c r="AG157" s="1" t="s">
        <v>853</v>
      </c>
      <c r="AH157" s="1" t="s">
        <v>26</v>
      </c>
      <c r="AI157" s="1" t="s">
        <v>36</v>
      </c>
      <c r="AJ157" s="1" t="s">
        <v>844</v>
      </c>
      <c r="AK157" s="1"/>
      <c r="AL157" s="1"/>
      <c r="AM157" s="1"/>
      <c r="AN157" s="1"/>
      <c r="AO157" s="1"/>
      <c r="AP157" s="1"/>
      <c r="AQ157" s="1" t="s">
        <v>2</v>
      </c>
      <c r="AR157" s="1" t="s">
        <v>1</v>
      </c>
      <c r="AS157" s="1">
        <v>1.5</v>
      </c>
      <c r="AT157" s="1">
        <v>1.1100000000000001</v>
      </c>
      <c r="AU157" s="1">
        <v>2.0499999999999998</v>
      </c>
      <c r="AV157" s="1" t="s">
        <v>1</v>
      </c>
      <c r="AW157" s="1">
        <v>1.5</v>
      </c>
      <c r="AX157" s="1">
        <v>1.1100000000000001</v>
      </c>
      <c r="AY157" s="1">
        <v>2.0499999999999998</v>
      </c>
      <c r="AZ157" s="1">
        <v>8.9999999999999993E-3</v>
      </c>
      <c r="BA157" s="1" t="s">
        <v>0</v>
      </c>
      <c r="BB157" s="1"/>
      <c r="BC157" s="1"/>
      <c r="BD157" s="1"/>
      <c r="BE157" s="1" t="s">
        <v>0</v>
      </c>
      <c r="BF157" s="1" t="s">
        <v>0</v>
      </c>
    </row>
    <row r="158" spans="1:58" x14ac:dyDescent="0.25">
      <c r="A158" s="1" t="s">
        <v>845</v>
      </c>
      <c r="B158" s="1" t="s">
        <v>846</v>
      </c>
      <c r="C158" s="1" t="s">
        <v>836</v>
      </c>
      <c r="D158" s="1">
        <v>2019</v>
      </c>
      <c r="E158" s="1" t="b">
        <v>0</v>
      </c>
      <c r="F158" s="1" t="s">
        <v>1381</v>
      </c>
      <c r="G158" s="1" t="s">
        <v>1380</v>
      </c>
      <c r="H158" s="1" t="s">
        <v>22</v>
      </c>
      <c r="I158" s="1" t="s">
        <v>21</v>
      </c>
      <c r="J158" s="1" t="s">
        <v>118</v>
      </c>
      <c r="K158" s="1" t="s">
        <v>847</v>
      </c>
      <c r="L158" s="1" t="s">
        <v>847</v>
      </c>
      <c r="M158" s="1" t="s">
        <v>260</v>
      </c>
      <c r="N158" s="1" t="s">
        <v>218</v>
      </c>
      <c r="O158" s="1" t="s">
        <v>42</v>
      </c>
      <c r="P158" s="1" t="s">
        <v>15</v>
      </c>
      <c r="Q158" s="1" t="s">
        <v>1526</v>
      </c>
      <c r="R158" s="1" t="s">
        <v>2</v>
      </c>
      <c r="S158" s="1" t="s">
        <v>21</v>
      </c>
      <c r="T158" s="1">
        <v>1</v>
      </c>
      <c r="U158" s="1" t="s">
        <v>145</v>
      </c>
      <c r="V158" s="1" t="s">
        <v>53</v>
      </c>
      <c r="W158" s="1" t="s">
        <v>13</v>
      </c>
      <c r="X158" s="1" t="s">
        <v>848</v>
      </c>
      <c r="Y158" s="1" t="s">
        <v>849</v>
      </c>
      <c r="Z158" s="1" t="s">
        <v>11</v>
      </c>
      <c r="AA158" s="1" t="s">
        <v>11</v>
      </c>
      <c r="AB158" s="1" t="s">
        <v>11</v>
      </c>
      <c r="AC158" s="1" t="s">
        <v>9</v>
      </c>
      <c r="AD158" s="1" t="s">
        <v>9</v>
      </c>
      <c r="AE158" s="1" t="s">
        <v>8</v>
      </c>
      <c r="AF158" s="1" t="s">
        <v>850</v>
      </c>
      <c r="AG158" s="1" t="s">
        <v>851</v>
      </c>
      <c r="AH158" s="1" t="s">
        <v>26</v>
      </c>
      <c r="AI158" s="1" t="s">
        <v>36</v>
      </c>
      <c r="AJ158" s="1" t="s">
        <v>844</v>
      </c>
      <c r="AK158" s="1"/>
      <c r="AL158" s="1"/>
      <c r="AM158" s="1"/>
      <c r="AN158" s="1"/>
      <c r="AO158" s="1"/>
      <c r="AP158" s="1"/>
      <c r="AQ158" s="1" t="s">
        <v>2</v>
      </c>
      <c r="AR158" s="1" t="s">
        <v>1</v>
      </c>
      <c r="AS158" s="1">
        <v>1.4</v>
      </c>
      <c r="AT158" s="1">
        <v>1.28</v>
      </c>
      <c r="AU158" s="1">
        <v>1.57</v>
      </c>
      <c r="AV158" s="1" t="s">
        <v>60</v>
      </c>
      <c r="AW158" s="1">
        <v>1.4</v>
      </c>
      <c r="AX158" s="1">
        <v>1.28</v>
      </c>
      <c r="AY158" s="1">
        <v>1.57</v>
      </c>
      <c r="AZ158" s="1" t="s">
        <v>60</v>
      </c>
      <c r="BA158" s="1" t="s">
        <v>0</v>
      </c>
      <c r="BB158" s="1"/>
      <c r="BC158" s="1"/>
      <c r="BD158" s="1"/>
      <c r="BE158" s="1" t="s">
        <v>0</v>
      </c>
      <c r="BF158" s="1" t="s">
        <v>0</v>
      </c>
    </row>
    <row r="159" spans="1:58" x14ac:dyDescent="0.25">
      <c r="A159" s="1" t="s">
        <v>854</v>
      </c>
      <c r="B159" s="1" t="s">
        <v>855</v>
      </c>
      <c r="C159" s="1" t="s">
        <v>856</v>
      </c>
      <c r="D159" s="1">
        <v>2023</v>
      </c>
      <c r="E159" s="1" t="b">
        <v>0</v>
      </c>
      <c r="F159" s="1" t="s">
        <v>1381</v>
      </c>
      <c r="G159" s="1" t="s">
        <v>1380</v>
      </c>
      <c r="H159" s="1" t="s">
        <v>22</v>
      </c>
      <c r="I159" s="1" t="s">
        <v>21</v>
      </c>
      <c r="J159" s="1" t="s">
        <v>118</v>
      </c>
      <c r="K159" s="1" t="s">
        <v>612</v>
      </c>
      <c r="L159" s="1" t="s">
        <v>612</v>
      </c>
      <c r="M159" s="1" t="s">
        <v>260</v>
      </c>
      <c r="N159" s="1" t="s">
        <v>17</v>
      </c>
      <c r="O159" s="1" t="s">
        <v>42</v>
      </c>
      <c r="P159" s="1" t="s">
        <v>15</v>
      </c>
      <c r="Q159" s="1" t="s">
        <v>1526</v>
      </c>
      <c r="R159" s="1" t="s">
        <v>2</v>
      </c>
      <c r="S159" s="1" t="s">
        <v>21</v>
      </c>
      <c r="T159" s="1">
        <v>1</v>
      </c>
      <c r="U159" s="1" t="s">
        <v>112</v>
      </c>
      <c r="V159" s="1" t="s">
        <v>53</v>
      </c>
      <c r="W159" s="1" t="s">
        <v>13</v>
      </c>
      <c r="X159" s="1" t="s">
        <v>857</v>
      </c>
      <c r="Y159" s="1" t="s">
        <v>858</v>
      </c>
      <c r="Z159" s="1" t="s">
        <v>39</v>
      </c>
      <c r="AA159" s="1" t="s">
        <v>859</v>
      </c>
      <c r="AB159" s="1" t="s">
        <v>860</v>
      </c>
      <c r="AC159" s="1" t="s">
        <v>67</v>
      </c>
      <c r="AD159" s="1" t="s">
        <v>53</v>
      </c>
      <c r="AE159" s="1" t="s">
        <v>160</v>
      </c>
      <c r="AF159" s="1" t="s">
        <v>861</v>
      </c>
      <c r="AG159" s="1" t="s">
        <v>862</v>
      </c>
      <c r="AH159" s="1" t="s">
        <v>26</v>
      </c>
      <c r="AI159" s="1" t="s">
        <v>36</v>
      </c>
      <c r="AJ159" s="1" t="s">
        <v>807</v>
      </c>
      <c r="AK159" s="1"/>
      <c r="AL159" s="1"/>
      <c r="AM159" s="1"/>
      <c r="AN159" s="1"/>
      <c r="AO159" s="1"/>
      <c r="AP159" s="1"/>
      <c r="AQ159" s="1" t="s">
        <v>2</v>
      </c>
      <c r="AR159" s="1" t="s">
        <v>1</v>
      </c>
      <c r="AS159" s="1">
        <v>0.96</v>
      </c>
      <c r="AT159" s="1">
        <v>0.68</v>
      </c>
      <c r="AU159" s="1">
        <v>1.35</v>
      </c>
      <c r="AV159" s="1" t="s">
        <v>1</v>
      </c>
      <c r="AW159" s="1">
        <v>0.96</v>
      </c>
      <c r="AX159" s="1">
        <v>0.68</v>
      </c>
      <c r="AY159" s="1">
        <v>1.35</v>
      </c>
      <c r="AZ159" s="1" t="s">
        <v>863</v>
      </c>
      <c r="BA159" s="1" t="s">
        <v>0</v>
      </c>
      <c r="BB159" s="1"/>
      <c r="BC159" s="1"/>
      <c r="BD159" s="1"/>
      <c r="BE159" s="1" t="s">
        <v>0</v>
      </c>
      <c r="BF159" s="1" t="s">
        <v>0</v>
      </c>
    </row>
    <row r="160" spans="1:58" x14ac:dyDescent="0.25">
      <c r="A160" s="1" t="s">
        <v>866</v>
      </c>
      <c r="B160" s="1" t="s">
        <v>867</v>
      </c>
      <c r="C160" s="1" t="s">
        <v>868</v>
      </c>
      <c r="D160" s="1">
        <v>2019</v>
      </c>
      <c r="E160" s="1" t="b">
        <v>0</v>
      </c>
      <c r="F160" s="1" t="s">
        <v>1381</v>
      </c>
      <c r="G160" s="1" t="s">
        <v>1380</v>
      </c>
      <c r="H160" s="1" t="s">
        <v>22</v>
      </c>
      <c r="I160" s="1" t="s">
        <v>21</v>
      </c>
      <c r="J160" s="1" t="s">
        <v>386</v>
      </c>
      <c r="K160" s="1">
        <v>603</v>
      </c>
      <c r="L160" s="1" t="s">
        <v>869</v>
      </c>
      <c r="M160" s="1" t="s">
        <v>148</v>
      </c>
      <c r="N160" s="1" t="s">
        <v>17</v>
      </c>
      <c r="O160" s="1" t="s">
        <v>16</v>
      </c>
      <c r="P160" s="1" t="s">
        <v>15</v>
      </c>
      <c r="Q160" s="1" t="s">
        <v>1527</v>
      </c>
      <c r="R160" s="1" t="s">
        <v>2</v>
      </c>
      <c r="S160" s="1" t="s">
        <v>21</v>
      </c>
      <c r="T160" s="1">
        <v>0</v>
      </c>
      <c r="U160" s="1" t="s">
        <v>870</v>
      </c>
      <c r="V160" s="1" t="s">
        <v>53</v>
      </c>
      <c r="W160" s="1" t="s">
        <v>13</v>
      </c>
      <c r="X160" s="1" t="s">
        <v>869</v>
      </c>
      <c r="Y160" s="1" t="s">
        <v>13</v>
      </c>
      <c r="Z160" s="1" t="s">
        <v>80</v>
      </c>
      <c r="AA160" s="1" t="s">
        <v>871</v>
      </c>
      <c r="AB160" s="1" t="s">
        <v>871</v>
      </c>
      <c r="AC160" s="1" t="s">
        <v>67</v>
      </c>
      <c r="AD160" s="1" t="s">
        <v>53</v>
      </c>
      <c r="AE160" s="1" t="s">
        <v>160</v>
      </c>
      <c r="AF160" s="1" t="s">
        <v>872</v>
      </c>
      <c r="AG160" s="1" t="s">
        <v>811</v>
      </c>
      <c r="AH160" s="1" t="s">
        <v>26</v>
      </c>
      <c r="AI160" s="1" t="s">
        <v>5</v>
      </c>
      <c r="AJ160" s="1" t="s">
        <v>327</v>
      </c>
      <c r="AK160" s="1"/>
      <c r="AL160" s="1"/>
      <c r="AM160" s="1"/>
      <c r="AN160" s="1" t="s">
        <v>3</v>
      </c>
      <c r="AO160" s="1"/>
      <c r="AP160" s="1"/>
      <c r="AQ160" s="1" t="s">
        <v>2</v>
      </c>
      <c r="AR160" s="1" t="s">
        <v>1</v>
      </c>
      <c r="AS160" s="1">
        <v>0.8</v>
      </c>
      <c r="AT160" s="1">
        <v>0.4</v>
      </c>
      <c r="AU160" s="1">
        <v>1.6</v>
      </c>
      <c r="AV160" s="1" t="s">
        <v>1</v>
      </c>
      <c r="AW160" s="1">
        <v>0.8</v>
      </c>
      <c r="AX160" s="1">
        <v>0.4</v>
      </c>
      <c r="AY160" s="1">
        <v>1.6</v>
      </c>
      <c r="AZ160" s="1" t="s">
        <v>873</v>
      </c>
      <c r="BA160" s="1" t="s">
        <v>0</v>
      </c>
      <c r="BB160" s="1"/>
      <c r="BC160" s="1"/>
      <c r="BD160" s="1"/>
      <c r="BE160" s="1" t="s">
        <v>0</v>
      </c>
      <c r="BF160" s="1" t="s">
        <v>0</v>
      </c>
    </row>
    <row r="161" spans="1:58" x14ac:dyDescent="0.25">
      <c r="A161" s="1" t="s">
        <v>874</v>
      </c>
      <c r="B161" s="1" t="s">
        <v>875</v>
      </c>
      <c r="C161" s="1" t="s">
        <v>876</v>
      </c>
      <c r="D161" s="1">
        <v>2018</v>
      </c>
      <c r="E161" s="1" t="b">
        <v>0</v>
      </c>
      <c r="F161" s="1" t="s">
        <v>1381</v>
      </c>
      <c r="G161" s="1" t="s">
        <v>1380</v>
      </c>
      <c r="H161" s="1" t="s">
        <v>22</v>
      </c>
      <c r="I161" s="1" t="s">
        <v>21</v>
      </c>
      <c r="J161" s="1" t="s">
        <v>386</v>
      </c>
      <c r="K161" s="1">
        <v>964</v>
      </c>
      <c r="L161" s="1" t="s">
        <v>877</v>
      </c>
      <c r="M161" s="1" t="s">
        <v>18</v>
      </c>
      <c r="N161" s="1" t="s">
        <v>878</v>
      </c>
      <c r="O161" s="1" t="s">
        <v>42</v>
      </c>
      <c r="P161" s="1" t="s">
        <v>15</v>
      </c>
      <c r="Q161" s="1" t="s">
        <v>1526</v>
      </c>
      <c r="R161" s="1" t="s">
        <v>35</v>
      </c>
      <c r="S161" s="1" t="s">
        <v>21</v>
      </c>
      <c r="T161" s="1">
        <v>2</v>
      </c>
      <c r="U161" s="1" t="s">
        <v>112</v>
      </c>
      <c r="V161" s="1" t="s">
        <v>53</v>
      </c>
      <c r="W161" s="1" t="s">
        <v>13</v>
      </c>
      <c r="X161" s="1" t="s">
        <v>879</v>
      </c>
      <c r="Y161" s="1" t="s">
        <v>881</v>
      </c>
      <c r="Z161" s="1" t="s">
        <v>39</v>
      </c>
      <c r="AA161" s="1" t="s">
        <v>880</v>
      </c>
      <c r="AB161" s="1" t="s">
        <v>880</v>
      </c>
      <c r="AC161" s="1" t="s">
        <v>41</v>
      </c>
      <c r="AD161" s="1" t="s">
        <v>53</v>
      </c>
      <c r="AE161" s="1" t="s">
        <v>160</v>
      </c>
      <c r="AF161" s="1" t="s">
        <v>478</v>
      </c>
      <c r="AG161" s="1" t="s">
        <v>889</v>
      </c>
      <c r="AH161" s="1" t="s">
        <v>26</v>
      </c>
      <c r="AI161" s="1" t="s">
        <v>615</v>
      </c>
      <c r="AJ161" s="1" t="s">
        <v>883</v>
      </c>
      <c r="AK161" s="1" t="s">
        <v>28</v>
      </c>
      <c r="AL161" s="1" t="s">
        <v>884</v>
      </c>
      <c r="AM161" s="1" t="s">
        <v>26</v>
      </c>
      <c r="AN161" s="1"/>
      <c r="AO161" s="1"/>
      <c r="AP161" s="1"/>
      <c r="AQ161" s="1" t="s">
        <v>35</v>
      </c>
      <c r="AR161" s="1" t="s">
        <v>1</v>
      </c>
      <c r="AS161" s="1">
        <v>0.4</v>
      </c>
      <c r="AT161" s="1">
        <v>0.22</v>
      </c>
      <c r="AU161" s="1">
        <v>0.72</v>
      </c>
      <c r="AV161" s="1" t="s">
        <v>0</v>
      </c>
      <c r="AW161" s="1"/>
      <c r="AX161" s="1"/>
      <c r="AY161" s="1"/>
      <c r="AZ161" s="1" t="s">
        <v>0</v>
      </c>
      <c r="BA161" s="1" t="s">
        <v>1</v>
      </c>
      <c r="BB161" s="1">
        <v>0.4</v>
      </c>
      <c r="BC161" s="1">
        <v>0.22</v>
      </c>
      <c r="BD161" s="1">
        <v>0.72</v>
      </c>
      <c r="BE161" s="1" t="s">
        <v>0</v>
      </c>
      <c r="BF161" s="1" t="s">
        <v>886</v>
      </c>
    </row>
    <row r="162" spans="1:58" x14ac:dyDescent="0.25">
      <c r="A162" s="1" t="s">
        <v>874</v>
      </c>
      <c r="B162" s="1" t="s">
        <v>875</v>
      </c>
      <c r="C162" s="1" t="s">
        <v>876</v>
      </c>
      <c r="D162" s="1">
        <v>2018</v>
      </c>
      <c r="E162" s="1" t="b">
        <v>0</v>
      </c>
      <c r="F162" s="1" t="s">
        <v>1381</v>
      </c>
      <c r="G162" s="1" t="s">
        <v>1380</v>
      </c>
      <c r="H162" s="1" t="s">
        <v>22</v>
      </c>
      <c r="I162" s="1" t="s">
        <v>21</v>
      </c>
      <c r="J162" s="1" t="s">
        <v>386</v>
      </c>
      <c r="K162" s="1">
        <v>964</v>
      </c>
      <c r="L162" s="1" t="s">
        <v>877</v>
      </c>
      <c r="M162" s="1" t="s">
        <v>18</v>
      </c>
      <c r="N162" s="1" t="s">
        <v>878</v>
      </c>
      <c r="O162" s="1" t="s">
        <v>42</v>
      </c>
      <c r="P162" s="1" t="s">
        <v>15</v>
      </c>
      <c r="Q162" s="1" t="s">
        <v>1526</v>
      </c>
      <c r="R162" s="1" t="s">
        <v>35</v>
      </c>
      <c r="S162" s="1" t="s">
        <v>21</v>
      </c>
      <c r="T162" s="1">
        <v>2</v>
      </c>
      <c r="U162" s="1" t="s">
        <v>112</v>
      </c>
      <c r="V162" s="1" t="s">
        <v>53</v>
      </c>
      <c r="W162" s="1" t="s">
        <v>13</v>
      </c>
      <c r="X162" s="1" t="s">
        <v>879</v>
      </c>
      <c r="Y162" s="1" t="s">
        <v>881</v>
      </c>
      <c r="Z162" s="1" t="s">
        <v>80</v>
      </c>
      <c r="AA162" s="1" t="s">
        <v>865</v>
      </c>
      <c r="AB162" s="1" t="s">
        <v>865</v>
      </c>
      <c r="AC162" s="1" t="s">
        <v>41</v>
      </c>
      <c r="AD162" s="1" t="s">
        <v>53</v>
      </c>
      <c r="AE162" s="1" t="s">
        <v>160</v>
      </c>
      <c r="AF162" s="1" t="s">
        <v>887</v>
      </c>
      <c r="AG162" s="1" t="s">
        <v>888</v>
      </c>
      <c r="AH162" s="1" t="s">
        <v>26</v>
      </c>
      <c r="AI162" s="1" t="s">
        <v>615</v>
      </c>
      <c r="AJ162" s="1" t="s">
        <v>883</v>
      </c>
      <c r="AK162" s="1" t="s">
        <v>28</v>
      </c>
      <c r="AL162" s="1" t="s">
        <v>884</v>
      </c>
      <c r="AM162" s="1" t="s">
        <v>26</v>
      </c>
      <c r="AN162" s="1"/>
      <c r="AO162" s="1"/>
      <c r="AP162" s="1"/>
      <c r="AQ162" s="1" t="s">
        <v>35</v>
      </c>
      <c r="AR162" s="1" t="s">
        <v>1</v>
      </c>
      <c r="AS162" s="1">
        <v>0.65</v>
      </c>
      <c r="AT162" s="1">
        <v>0.35</v>
      </c>
      <c r="AU162" s="1">
        <v>1.21</v>
      </c>
      <c r="AV162" s="1" t="s">
        <v>0</v>
      </c>
      <c r="AW162" s="1"/>
      <c r="AX162" s="1"/>
      <c r="AY162" s="1"/>
      <c r="AZ162" s="1" t="s">
        <v>0</v>
      </c>
      <c r="BA162" s="1" t="s">
        <v>1</v>
      </c>
      <c r="BB162" s="1">
        <v>0.65</v>
      </c>
      <c r="BC162" s="1">
        <v>0.35</v>
      </c>
      <c r="BD162" s="1">
        <v>1.21</v>
      </c>
      <c r="BE162" s="1" t="s">
        <v>0</v>
      </c>
      <c r="BF162" s="1" t="s">
        <v>886</v>
      </c>
    </row>
    <row r="163" spans="1:58" x14ac:dyDescent="0.25">
      <c r="A163" s="1" t="s">
        <v>874</v>
      </c>
      <c r="B163" s="1" t="s">
        <v>875</v>
      </c>
      <c r="C163" s="1" t="s">
        <v>876</v>
      </c>
      <c r="D163" s="1">
        <v>2018</v>
      </c>
      <c r="E163" s="1" t="b">
        <v>0</v>
      </c>
      <c r="F163" s="1" t="s">
        <v>1381</v>
      </c>
      <c r="G163" s="1" t="s">
        <v>1380</v>
      </c>
      <c r="H163" s="1" t="s">
        <v>22</v>
      </c>
      <c r="I163" s="1" t="s">
        <v>21</v>
      </c>
      <c r="J163" s="1" t="s">
        <v>386</v>
      </c>
      <c r="K163" s="1">
        <v>964</v>
      </c>
      <c r="L163" s="1" t="s">
        <v>877</v>
      </c>
      <c r="M163" s="1" t="s">
        <v>18</v>
      </c>
      <c r="N163" s="1" t="s">
        <v>878</v>
      </c>
      <c r="O163" s="1" t="s">
        <v>42</v>
      </c>
      <c r="P163" s="1" t="s">
        <v>15</v>
      </c>
      <c r="Q163" s="1" t="s">
        <v>1526</v>
      </c>
      <c r="R163" s="1" t="s">
        <v>35</v>
      </c>
      <c r="S163" s="1" t="s">
        <v>21</v>
      </c>
      <c r="T163" s="1">
        <v>2</v>
      </c>
      <c r="U163" s="1" t="s">
        <v>112</v>
      </c>
      <c r="V163" s="1" t="s">
        <v>53</v>
      </c>
      <c r="W163" s="1" t="s">
        <v>13</v>
      </c>
      <c r="X163" s="1" t="s">
        <v>879</v>
      </c>
      <c r="Y163" s="1" t="s">
        <v>881</v>
      </c>
      <c r="Z163" s="1" t="s">
        <v>11</v>
      </c>
      <c r="AA163" s="1" t="s">
        <v>864</v>
      </c>
      <c r="AB163" s="1" t="s">
        <v>864</v>
      </c>
      <c r="AC163" s="1" t="s">
        <v>41</v>
      </c>
      <c r="AD163" s="1" t="s">
        <v>53</v>
      </c>
      <c r="AE163" s="1" t="s">
        <v>160</v>
      </c>
      <c r="AF163" s="1" t="s">
        <v>329</v>
      </c>
      <c r="AG163" s="1" t="s">
        <v>882</v>
      </c>
      <c r="AH163" s="1" t="s">
        <v>26</v>
      </c>
      <c r="AI163" s="1" t="s">
        <v>615</v>
      </c>
      <c r="AJ163" s="1" t="s">
        <v>883</v>
      </c>
      <c r="AK163" s="1" t="s">
        <v>28</v>
      </c>
      <c r="AL163" s="1" t="s">
        <v>884</v>
      </c>
      <c r="AM163" s="1" t="s">
        <v>26</v>
      </c>
      <c r="AN163" s="1"/>
      <c r="AO163" s="1"/>
      <c r="AP163" s="1"/>
      <c r="AQ163" s="1" t="s">
        <v>35</v>
      </c>
      <c r="AR163" s="1" t="s">
        <v>1</v>
      </c>
      <c r="AS163" s="1">
        <v>0.42</v>
      </c>
      <c r="AT163" s="1">
        <v>0.22</v>
      </c>
      <c r="AU163" s="1">
        <v>0.77</v>
      </c>
      <c r="AV163" s="1" t="s">
        <v>0</v>
      </c>
      <c r="AW163" s="1"/>
      <c r="AX163" s="1"/>
      <c r="AY163" s="1"/>
      <c r="AZ163" s="1" t="s">
        <v>0</v>
      </c>
      <c r="BA163" s="1" t="s">
        <v>1</v>
      </c>
      <c r="BB163" s="1">
        <v>0.42</v>
      </c>
      <c r="BC163" s="1">
        <v>0.22</v>
      </c>
      <c r="BD163" s="1">
        <v>0.77</v>
      </c>
      <c r="BE163" s="1" t="s">
        <v>885</v>
      </c>
      <c r="BF163" s="1" t="s">
        <v>886</v>
      </c>
    </row>
    <row r="164" spans="1:58" x14ac:dyDescent="0.25">
      <c r="A164" s="1" t="s">
        <v>891</v>
      </c>
      <c r="B164" s="1" t="s">
        <v>892</v>
      </c>
      <c r="C164" s="1" t="s">
        <v>893</v>
      </c>
      <c r="D164" s="1">
        <v>2021</v>
      </c>
      <c r="E164" s="1" t="b">
        <v>0</v>
      </c>
      <c r="F164" s="1" t="s">
        <v>1381</v>
      </c>
      <c r="G164" s="1" t="s">
        <v>1380</v>
      </c>
      <c r="H164" s="1" t="s">
        <v>22</v>
      </c>
      <c r="I164" s="1" t="s">
        <v>21</v>
      </c>
      <c r="J164" s="1" t="s">
        <v>20</v>
      </c>
      <c r="K164" s="1">
        <v>300</v>
      </c>
      <c r="L164" s="1" t="s">
        <v>894</v>
      </c>
      <c r="M164" s="1" t="s">
        <v>148</v>
      </c>
      <c r="N164" s="1" t="s">
        <v>17</v>
      </c>
      <c r="O164" s="1" t="s">
        <v>895</v>
      </c>
      <c r="P164" s="1" t="s">
        <v>15</v>
      </c>
      <c r="Q164" s="1" t="s">
        <v>1527</v>
      </c>
      <c r="R164" s="1" t="s">
        <v>35</v>
      </c>
      <c r="S164" s="1" t="s">
        <v>21</v>
      </c>
      <c r="T164" s="1">
        <v>1</v>
      </c>
      <c r="U164" s="1" t="s">
        <v>145</v>
      </c>
      <c r="V164" s="1" t="s">
        <v>53</v>
      </c>
      <c r="W164" s="1" t="s">
        <v>13</v>
      </c>
      <c r="X164" s="1" t="s">
        <v>896</v>
      </c>
      <c r="Y164" s="1" t="s">
        <v>897</v>
      </c>
      <c r="Z164" s="1" t="s">
        <v>39</v>
      </c>
      <c r="AA164" s="1" t="s">
        <v>898</v>
      </c>
      <c r="AB164" s="1" t="s">
        <v>623</v>
      </c>
      <c r="AC164" s="1" t="s">
        <v>9</v>
      </c>
      <c r="AD164" s="1" t="s">
        <v>9</v>
      </c>
      <c r="AE164" s="1" t="s">
        <v>63</v>
      </c>
      <c r="AF164" s="1" t="s">
        <v>899</v>
      </c>
      <c r="AG164" s="1" t="s">
        <v>251</v>
      </c>
      <c r="AH164" s="1" t="s">
        <v>26</v>
      </c>
      <c r="AI164" s="1" t="s">
        <v>36</v>
      </c>
      <c r="AJ164" s="1" t="s">
        <v>900</v>
      </c>
      <c r="AK164" s="1"/>
      <c r="AL164" s="1"/>
      <c r="AM164" s="1"/>
      <c r="AN164" s="1"/>
      <c r="AO164" s="1"/>
      <c r="AP164" s="1"/>
      <c r="AQ164" s="1" t="s">
        <v>35</v>
      </c>
      <c r="AR164" s="1" t="s">
        <v>1</v>
      </c>
      <c r="AS164" s="1">
        <v>1.72</v>
      </c>
      <c r="AT164" s="1">
        <v>1.07</v>
      </c>
      <c r="AU164" s="1">
        <v>2.79</v>
      </c>
      <c r="AV164" s="1" t="s">
        <v>1</v>
      </c>
      <c r="AW164" s="1">
        <v>1.72</v>
      </c>
      <c r="AX164" s="1">
        <v>1.07</v>
      </c>
      <c r="AY164" s="1">
        <v>2.79</v>
      </c>
      <c r="AZ164" s="1" t="s">
        <v>901</v>
      </c>
      <c r="BA164" s="1" t="s">
        <v>34</v>
      </c>
      <c r="BB164" s="1"/>
      <c r="BC164" s="1"/>
      <c r="BD164" s="1"/>
      <c r="BE164" s="1"/>
      <c r="BF164" s="1"/>
    </row>
    <row r="165" spans="1:58" x14ac:dyDescent="0.25">
      <c r="A165" s="1" t="s">
        <v>902</v>
      </c>
      <c r="B165" s="1" t="s">
        <v>903</v>
      </c>
      <c r="C165" s="1" t="s">
        <v>904</v>
      </c>
      <c r="D165" s="1">
        <v>2013</v>
      </c>
      <c r="E165" s="1" t="b">
        <v>1</v>
      </c>
      <c r="F165" s="1" t="s">
        <v>1380</v>
      </c>
      <c r="G165" s="1" t="s">
        <v>1380</v>
      </c>
      <c r="H165" s="1" t="s">
        <v>22</v>
      </c>
      <c r="I165" s="1" t="s">
        <v>21</v>
      </c>
      <c r="J165" s="1" t="s">
        <v>20</v>
      </c>
      <c r="K165" s="1" t="s">
        <v>905</v>
      </c>
      <c r="L165" s="1">
        <v>870</v>
      </c>
      <c r="M165" s="1" t="s">
        <v>148</v>
      </c>
      <c r="N165" s="1" t="s">
        <v>326</v>
      </c>
      <c r="O165" s="1" t="s">
        <v>42</v>
      </c>
      <c r="P165" s="1" t="s">
        <v>133</v>
      </c>
      <c r="Q165" s="1" t="s">
        <v>1527</v>
      </c>
      <c r="R165" s="1" t="s">
        <v>35</v>
      </c>
      <c r="S165" s="1" t="s">
        <v>21</v>
      </c>
      <c r="T165" s="1">
        <v>1</v>
      </c>
      <c r="U165" s="1" t="s">
        <v>14</v>
      </c>
      <c r="V165" s="1" t="s">
        <v>53</v>
      </c>
      <c r="W165" s="1" t="s">
        <v>13</v>
      </c>
      <c r="X165" s="1" t="s">
        <v>0</v>
      </c>
      <c r="Y165" s="1" t="s">
        <v>0</v>
      </c>
      <c r="Z165" s="1" t="s">
        <v>39</v>
      </c>
      <c r="AA165" s="1" t="s">
        <v>906</v>
      </c>
      <c r="AB165" s="1" t="s">
        <v>907</v>
      </c>
      <c r="AC165" s="1" t="s">
        <v>9</v>
      </c>
      <c r="AD165" s="1" t="s">
        <v>9</v>
      </c>
      <c r="AE165" s="1" t="s">
        <v>8</v>
      </c>
      <c r="AF165" s="1" t="s">
        <v>908</v>
      </c>
      <c r="AG165" s="1">
        <v>0.109</v>
      </c>
      <c r="AH165" s="1" t="s">
        <v>6</v>
      </c>
      <c r="AI165" s="1" t="s">
        <v>36</v>
      </c>
      <c r="AJ165" s="1" t="s">
        <v>807</v>
      </c>
      <c r="AK165" s="1"/>
      <c r="AL165" s="1"/>
      <c r="AM165" s="1"/>
      <c r="AN165" s="1"/>
      <c r="AO165" s="1"/>
      <c r="AP165" s="1"/>
      <c r="AQ165" s="1" t="s">
        <v>35</v>
      </c>
      <c r="AR165" s="1" t="s">
        <v>1</v>
      </c>
      <c r="AS165" s="1">
        <v>1.2</v>
      </c>
      <c r="AT165" s="1">
        <v>0.3</v>
      </c>
      <c r="AU165" s="1">
        <v>4.2</v>
      </c>
      <c r="AV165" s="1" t="s">
        <v>1</v>
      </c>
      <c r="AW165" s="1">
        <v>5.5</v>
      </c>
      <c r="AX165" s="1">
        <v>0.5</v>
      </c>
      <c r="AY165" s="1">
        <v>60.4</v>
      </c>
      <c r="AZ165" s="1" t="s">
        <v>0</v>
      </c>
      <c r="BA165" s="1" t="s">
        <v>1</v>
      </c>
      <c r="BB165" s="1">
        <v>1.2</v>
      </c>
      <c r="BC165" s="1">
        <v>0.3</v>
      </c>
      <c r="BD165" s="1">
        <v>4.2</v>
      </c>
      <c r="BE165" s="1" t="s">
        <v>0</v>
      </c>
      <c r="BF165" s="1" t="s">
        <v>909</v>
      </c>
    </row>
    <row r="166" spans="1:58" x14ac:dyDescent="0.25">
      <c r="A166" s="1" t="s">
        <v>902</v>
      </c>
      <c r="B166" s="1" t="s">
        <v>903</v>
      </c>
      <c r="C166" s="1" t="s">
        <v>904</v>
      </c>
      <c r="D166" s="1">
        <v>2013</v>
      </c>
      <c r="E166" s="1" t="b">
        <v>1</v>
      </c>
      <c r="F166" s="1" t="s">
        <v>1380</v>
      </c>
      <c r="G166" s="1" t="s">
        <v>1380</v>
      </c>
      <c r="H166" s="1" t="s">
        <v>22</v>
      </c>
      <c r="I166" s="1" t="s">
        <v>21</v>
      </c>
      <c r="J166" s="1" t="s">
        <v>20</v>
      </c>
      <c r="K166" s="1" t="s">
        <v>905</v>
      </c>
      <c r="L166" s="1" t="s">
        <v>905</v>
      </c>
      <c r="M166" s="1" t="s">
        <v>148</v>
      </c>
      <c r="N166" s="1" t="s">
        <v>326</v>
      </c>
      <c r="O166" s="1" t="s">
        <v>42</v>
      </c>
      <c r="P166" s="1" t="s">
        <v>133</v>
      </c>
      <c r="Q166" s="1" t="s">
        <v>1527</v>
      </c>
      <c r="R166" s="1" t="s">
        <v>35</v>
      </c>
      <c r="S166" s="1" t="s">
        <v>21</v>
      </c>
      <c r="T166" s="1">
        <v>1</v>
      </c>
      <c r="U166" s="1" t="s">
        <v>14</v>
      </c>
      <c r="V166" s="1" t="s">
        <v>53</v>
      </c>
      <c r="W166" s="1" t="s">
        <v>13</v>
      </c>
      <c r="X166" s="1" t="s">
        <v>0</v>
      </c>
      <c r="Y166" s="1" t="s">
        <v>0</v>
      </c>
      <c r="Z166" s="1" t="s">
        <v>39</v>
      </c>
      <c r="AA166" s="1" t="s">
        <v>919</v>
      </c>
      <c r="AB166" s="1" t="s">
        <v>920</v>
      </c>
      <c r="AC166" s="1" t="s">
        <v>9</v>
      </c>
      <c r="AD166" s="1" t="s">
        <v>9</v>
      </c>
      <c r="AE166" s="1" t="s">
        <v>8</v>
      </c>
      <c r="AF166" s="1" t="s">
        <v>921</v>
      </c>
      <c r="AG166" s="1">
        <v>0.20599999999999999</v>
      </c>
      <c r="AH166" s="1" t="s">
        <v>6</v>
      </c>
      <c r="AI166" s="1" t="s">
        <v>36</v>
      </c>
      <c r="AJ166" s="1" t="s">
        <v>807</v>
      </c>
      <c r="AK166" s="1"/>
      <c r="AL166" s="1"/>
      <c r="AM166" s="1"/>
      <c r="AN166" s="1"/>
      <c r="AO166" s="1"/>
      <c r="AP166" s="1"/>
      <c r="AQ166" s="1" t="s">
        <v>35</v>
      </c>
      <c r="AR166" s="1" t="s">
        <v>1</v>
      </c>
      <c r="AS166" s="1">
        <v>1.3</v>
      </c>
      <c r="AT166" s="1">
        <v>0.5</v>
      </c>
      <c r="AU166" s="1">
        <v>3.4</v>
      </c>
      <c r="AV166" s="1" t="s">
        <v>1</v>
      </c>
      <c r="AW166" s="1">
        <v>5.9</v>
      </c>
      <c r="AX166" s="1">
        <v>0.7</v>
      </c>
      <c r="AY166" s="1">
        <v>52.2</v>
      </c>
      <c r="AZ166" s="1" t="s">
        <v>0</v>
      </c>
      <c r="BA166" s="1" t="s">
        <v>1</v>
      </c>
      <c r="BB166" s="1">
        <v>1.3</v>
      </c>
      <c r="BC166" s="1">
        <v>0.5</v>
      </c>
      <c r="BD166" s="1">
        <v>3.4</v>
      </c>
      <c r="BE166" s="1" t="s">
        <v>0</v>
      </c>
      <c r="BF166" s="1" t="s">
        <v>909</v>
      </c>
    </row>
    <row r="167" spans="1:58" x14ac:dyDescent="0.25">
      <c r="A167" s="1" t="s">
        <v>902</v>
      </c>
      <c r="B167" s="1" t="s">
        <v>903</v>
      </c>
      <c r="C167" s="1" t="s">
        <v>904</v>
      </c>
      <c r="D167" s="1">
        <v>2013</v>
      </c>
      <c r="E167" s="1" t="b">
        <v>1</v>
      </c>
      <c r="F167" s="1" t="s">
        <v>1380</v>
      </c>
      <c r="G167" s="1" t="s">
        <v>1380</v>
      </c>
      <c r="H167" s="1" t="s">
        <v>22</v>
      </c>
      <c r="I167" s="1" t="s">
        <v>21</v>
      </c>
      <c r="J167" s="1" t="s">
        <v>20</v>
      </c>
      <c r="K167" s="1" t="s">
        <v>905</v>
      </c>
      <c r="L167" s="1" t="s">
        <v>905</v>
      </c>
      <c r="M167" s="1" t="s">
        <v>148</v>
      </c>
      <c r="N167" s="1" t="s">
        <v>326</v>
      </c>
      <c r="O167" s="1" t="s">
        <v>42</v>
      </c>
      <c r="P167" s="1" t="s">
        <v>133</v>
      </c>
      <c r="Q167" s="1" t="s">
        <v>1527</v>
      </c>
      <c r="R167" s="1" t="s">
        <v>35</v>
      </c>
      <c r="S167" s="1" t="s">
        <v>21</v>
      </c>
      <c r="T167" s="1">
        <v>1</v>
      </c>
      <c r="U167" s="1" t="s">
        <v>14</v>
      </c>
      <c r="V167" s="1" t="s">
        <v>53</v>
      </c>
      <c r="W167" s="1" t="s">
        <v>13</v>
      </c>
      <c r="X167" s="1" t="s">
        <v>0</v>
      </c>
      <c r="Y167" s="1" t="s">
        <v>0</v>
      </c>
      <c r="Z167" s="1" t="s">
        <v>39</v>
      </c>
      <c r="AA167" s="1" t="s">
        <v>922</v>
      </c>
      <c r="AB167" s="1" t="s">
        <v>923</v>
      </c>
      <c r="AC167" s="1" t="s">
        <v>9</v>
      </c>
      <c r="AD167" s="1" t="s">
        <v>9</v>
      </c>
      <c r="AE167" s="1" t="s">
        <v>8</v>
      </c>
      <c r="AF167" s="1" t="s">
        <v>924</v>
      </c>
      <c r="AG167" s="1">
        <v>0.318</v>
      </c>
      <c r="AH167" s="1" t="s">
        <v>26</v>
      </c>
      <c r="AI167" s="1" t="s">
        <v>36</v>
      </c>
      <c r="AJ167" s="1" t="s">
        <v>807</v>
      </c>
      <c r="AK167" s="1"/>
      <c r="AL167" s="1"/>
      <c r="AM167" s="1"/>
      <c r="AN167" s="1"/>
      <c r="AO167" s="1"/>
      <c r="AP167" s="1"/>
      <c r="AQ167" s="1" t="s">
        <v>35</v>
      </c>
      <c r="AR167" s="1" t="s">
        <v>1</v>
      </c>
      <c r="AS167" s="1">
        <v>0.8</v>
      </c>
      <c r="AT167" s="1">
        <v>0.3</v>
      </c>
      <c r="AU167" s="1">
        <v>2.2999999999999998</v>
      </c>
      <c r="AV167" s="1" t="s">
        <v>1</v>
      </c>
      <c r="AW167" s="1">
        <v>3.8</v>
      </c>
      <c r="AX167" s="1">
        <v>0.4</v>
      </c>
      <c r="AY167" s="1">
        <v>33.799999999999997</v>
      </c>
      <c r="AZ167" s="1" t="s">
        <v>0</v>
      </c>
      <c r="BA167" s="1" t="s">
        <v>1</v>
      </c>
      <c r="BB167" s="1">
        <v>0.8</v>
      </c>
      <c r="BC167" s="1">
        <v>0.3</v>
      </c>
      <c r="BD167" s="1">
        <v>2.2999999999999998</v>
      </c>
      <c r="BE167" s="1" t="s">
        <v>0</v>
      </c>
      <c r="BF167" s="1" t="s">
        <v>909</v>
      </c>
    </row>
    <row r="168" spans="1:58" x14ac:dyDescent="0.25">
      <c r="A168" s="1" t="s">
        <v>902</v>
      </c>
      <c r="B168" s="1" t="s">
        <v>903</v>
      </c>
      <c r="C168" s="1" t="s">
        <v>904</v>
      </c>
      <c r="D168" s="1">
        <v>2013</v>
      </c>
      <c r="E168" s="1" t="b">
        <v>1</v>
      </c>
      <c r="F168" s="1" t="s">
        <v>1380</v>
      </c>
      <c r="G168" s="1" t="s">
        <v>1380</v>
      </c>
      <c r="H168" s="1" t="s">
        <v>22</v>
      </c>
      <c r="I168" s="1" t="s">
        <v>21</v>
      </c>
      <c r="J168" s="1" t="s">
        <v>20</v>
      </c>
      <c r="K168" s="1" t="s">
        <v>905</v>
      </c>
      <c r="L168" s="1" t="s">
        <v>905</v>
      </c>
      <c r="M168" s="1" t="s">
        <v>148</v>
      </c>
      <c r="N168" s="1" t="s">
        <v>326</v>
      </c>
      <c r="O168" s="1" t="s">
        <v>42</v>
      </c>
      <c r="P168" s="1" t="s">
        <v>133</v>
      </c>
      <c r="Q168" s="1" t="s">
        <v>1527</v>
      </c>
      <c r="R168" s="1" t="s">
        <v>35</v>
      </c>
      <c r="S168" s="1" t="s">
        <v>21</v>
      </c>
      <c r="T168" s="1">
        <v>1</v>
      </c>
      <c r="U168" s="1" t="s">
        <v>14</v>
      </c>
      <c r="V168" s="1" t="s">
        <v>53</v>
      </c>
      <c r="W168" s="1" t="s">
        <v>13</v>
      </c>
      <c r="X168" s="1" t="s">
        <v>0</v>
      </c>
      <c r="Y168" s="1" t="s">
        <v>0</v>
      </c>
      <c r="Z168" s="1" t="s">
        <v>39</v>
      </c>
      <c r="AA168" s="1" t="s">
        <v>925</v>
      </c>
      <c r="AB168" s="1" t="s">
        <v>926</v>
      </c>
      <c r="AC168" s="1" t="s">
        <v>9</v>
      </c>
      <c r="AD168" s="1" t="s">
        <v>9</v>
      </c>
      <c r="AE168" s="1" t="s">
        <v>8</v>
      </c>
      <c r="AF168" s="1" t="s">
        <v>927</v>
      </c>
      <c r="AG168" s="1">
        <v>6.4000000000000001E-2</v>
      </c>
      <c r="AH168" s="1" t="s">
        <v>6</v>
      </c>
      <c r="AI168" s="1" t="s">
        <v>36</v>
      </c>
      <c r="AJ168" s="1" t="s">
        <v>807</v>
      </c>
      <c r="AK168" s="1"/>
      <c r="AL168" s="1"/>
      <c r="AM168" s="1"/>
      <c r="AN168" s="1"/>
      <c r="AO168" s="1"/>
      <c r="AP168" s="1"/>
      <c r="AQ168" s="1" t="s">
        <v>35</v>
      </c>
      <c r="AR168" s="1" t="s">
        <v>1</v>
      </c>
      <c r="AS168" s="1">
        <v>2.9</v>
      </c>
      <c r="AT168" s="1">
        <v>0.9</v>
      </c>
      <c r="AU168" s="1">
        <v>9.1999999999999993</v>
      </c>
      <c r="AV168" s="1" t="s">
        <v>1</v>
      </c>
      <c r="AW168" s="1">
        <v>14.1</v>
      </c>
      <c r="AX168" s="1">
        <v>1.5</v>
      </c>
      <c r="AY168" s="1">
        <v>133</v>
      </c>
      <c r="AZ168" s="1" t="s">
        <v>0</v>
      </c>
      <c r="BA168" s="1" t="s">
        <v>1</v>
      </c>
      <c r="BB168" s="1">
        <v>2.9</v>
      </c>
      <c r="BC168" s="1">
        <v>0.9</v>
      </c>
      <c r="BD168" s="1">
        <v>9.1999999999999993</v>
      </c>
      <c r="BE168" s="1" t="s">
        <v>0</v>
      </c>
      <c r="BF168" s="1" t="s">
        <v>909</v>
      </c>
    </row>
    <row r="169" spans="1:58" x14ac:dyDescent="0.25">
      <c r="A169" s="1" t="s">
        <v>902</v>
      </c>
      <c r="B169" s="1" t="s">
        <v>903</v>
      </c>
      <c r="C169" s="1" t="s">
        <v>904</v>
      </c>
      <c r="D169" s="1">
        <v>2013</v>
      </c>
      <c r="E169" s="1" t="b">
        <v>1</v>
      </c>
      <c r="F169" s="1" t="s">
        <v>1380</v>
      </c>
      <c r="G169" s="1" t="s">
        <v>1380</v>
      </c>
      <c r="H169" s="1" t="s">
        <v>22</v>
      </c>
      <c r="I169" s="1" t="s">
        <v>21</v>
      </c>
      <c r="J169" s="1" t="s">
        <v>20</v>
      </c>
      <c r="K169" s="1" t="s">
        <v>905</v>
      </c>
      <c r="L169" s="1" t="s">
        <v>905</v>
      </c>
      <c r="M169" s="1" t="s">
        <v>148</v>
      </c>
      <c r="N169" s="1" t="s">
        <v>326</v>
      </c>
      <c r="O169" s="1" t="s">
        <v>42</v>
      </c>
      <c r="P169" s="1" t="s">
        <v>133</v>
      </c>
      <c r="Q169" s="1" t="s">
        <v>1527</v>
      </c>
      <c r="R169" s="1" t="s">
        <v>35</v>
      </c>
      <c r="S169" s="1" t="s">
        <v>21</v>
      </c>
      <c r="T169" s="1">
        <v>1</v>
      </c>
      <c r="U169" s="1" t="s">
        <v>14</v>
      </c>
      <c r="V169" s="1" t="s">
        <v>53</v>
      </c>
      <c r="W169" s="1" t="s">
        <v>13</v>
      </c>
      <c r="X169" s="1" t="s">
        <v>0</v>
      </c>
      <c r="Y169" s="1" t="s">
        <v>0</v>
      </c>
      <c r="Z169" s="1" t="s">
        <v>80</v>
      </c>
      <c r="AA169" s="1" t="s">
        <v>913</v>
      </c>
      <c r="AB169" s="1" t="s">
        <v>914</v>
      </c>
      <c r="AC169" s="1" t="s">
        <v>9</v>
      </c>
      <c r="AD169" s="1" t="s">
        <v>9</v>
      </c>
      <c r="AE169" s="1" t="s">
        <v>8</v>
      </c>
      <c r="AF169" s="1" t="s">
        <v>915</v>
      </c>
      <c r="AG169" s="1" t="s">
        <v>351</v>
      </c>
      <c r="AH169" s="1" t="s">
        <v>26</v>
      </c>
      <c r="AI169" s="1" t="s">
        <v>36</v>
      </c>
      <c r="AJ169" s="1" t="s">
        <v>807</v>
      </c>
      <c r="AK169" s="1"/>
      <c r="AL169" s="1"/>
      <c r="AM169" s="1"/>
      <c r="AN169" s="1"/>
      <c r="AO169" s="1"/>
      <c r="AP169" s="1"/>
      <c r="AQ169" s="1" t="s">
        <v>35</v>
      </c>
      <c r="AR169" s="1" t="s">
        <v>1</v>
      </c>
      <c r="AS169" s="1">
        <v>1.2</v>
      </c>
      <c r="AT169" s="1">
        <v>0.8</v>
      </c>
      <c r="AU169" s="1">
        <v>1.9</v>
      </c>
      <c r="AV169" s="1" t="s">
        <v>1</v>
      </c>
      <c r="AW169" s="1">
        <v>1.9</v>
      </c>
      <c r="AX169" s="1">
        <v>0.8</v>
      </c>
      <c r="AY169" s="1">
        <v>4.5</v>
      </c>
      <c r="AZ169" s="1" t="s">
        <v>0</v>
      </c>
      <c r="BA169" s="1" t="s">
        <v>1</v>
      </c>
      <c r="BB169" s="1">
        <v>1.2</v>
      </c>
      <c r="BC169" s="1">
        <v>0.8</v>
      </c>
      <c r="BD169" s="1">
        <v>1.9</v>
      </c>
      <c r="BE169" s="1" t="s">
        <v>0</v>
      </c>
      <c r="BF169" s="1" t="s">
        <v>909</v>
      </c>
    </row>
    <row r="170" spans="1:58" x14ac:dyDescent="0.25">
      <c r="A170" s="1" t="s">
        <v>902</v>
      </c>
      <c r="B170" s="1" t="s">
        <v>903</v>
      </c>
      <c r="C170" s="1" t="s">
        <v>904</v>
      </c>
      <c r="D170" s="1">
        <v>2013</v>
      </c>
      <c r="E170" s="1" t="b">
        <v>1</v>
      </c>
      <c r="F170" s="1" t="s">
        <v>1380</v>
      </c>
      <c r="G170" s="1" t="s">
        <v>1380</v>
      </c>
      <c r="H170" s="1" t="s">
        <v>22</v>
      </c>
      <c r="I170" s="1" t="s">
        <v>21</v>
      </c>
      <c r="J170" s="1" t="s">
        <v>20</v>
      </c>
      <c r="K170" s="1" t="s">
        <v>905</v>
      </c>
      <c r="L170" s="1" t="s">
        <v>905</v>
      </c>
      <c r="M170" s="1" t="s">
        <v>148</v>
      </c>
      <c r="N170" s="1" t="s">
        <v>326</v>
      </c>
      <c r="O170" s="1" t="s">
        <v>42</v>
      </c>
      <c r="P170" s="1" t="s">
        <v>133</v>
      </c>
      <c r="Q170" s="1" t="s">
        <v>1527</v>
      </c>
      <c r="R170" s="1" t="s">
        <v>35</v>
      </c>
      <c r="S170" s="1" t="s">
        <v>21</v>
      </c>
      <c r="T170" s="1">
        <v>1</v>
      </c>
      <c r="U170" s="1" t="s">
        <v>14</v>
      </c>
      <c r="V170" s="1" t="s">
        <v>53</v>
      </c>
      <c r="W170" s="1" t="s">
        <v>13</v>
      </c>
      <c r="X170" s="1" t="s">
        <v>0</v>
      </c>
      <c r="Y170" s="1" t="s">
        <v>0</v>
      </c>
      <c r="Z170" s="1" t="s">
        <v>11</v>
      </c>
      <c r="AA170" s="1" t="s">
        <v>910</v>
      </c>
      <c r="AB170" s="1" t="s">
        <v>910</v>
      </c>
      <c r="AC170" s="1" t="s">
        <v>9</v>
      </c>
      <c r="AD170" s="1" t="s">
        <v>9</v>
      </c>
      <c r="AE170" s="1" t="s">
        <v>8</v>
      </c>
      <c r="AF170" s="1" t="s">
        <v>911</v>
      </c>
      <c r="AG170" s="1" t="s">
        <v>912</v>
      </c>
      <c r="AH170" s="1" t="s">
        <v>26</v>
      </c>
      <c r="AI170" s="1" t="s">
        <v>36</v>
      </c>
      <c r="AJ170" s="1" t="s">
        <v>807</v>
      </c>
      <c r="AK170" s="1"/>
      <c r="AL170" s="1"/>
      <c r="AM170" s="1"/>
      <c r="AN170" s="1"/>
      <c r="AO170" s="1"/>
      <c r="AP170" s="1"/>
      <c r="AQ170" s="1" t="s">
        <v>35</v>
      </c>
      <c r="AR170" s="1" t="s">
        <v>1</v>
      </c>
      <c r="AS170" s="1">
        <v>1.5</v>
      </c>
      <c r="AT170" s="1">
        <v>0.9</v>
      </c>
      <c r="AU170" s="1">
        <v>2.5</v>
      </c>
      <c r="AV170" s="1" t="s">
        <v>1</v>
      </c>
      <c r="AW170" s="1">
        <v>2.4</v>
      </c>
      <c r="AX170" s="1">
        <v>0.9</v>
      </c>
      <c r="AY170" s="1">
        <v>6.6</v>
      </c>
      <c r="AZ170" s="1" t="s">
        <v>0</v>
      </c>
      <c r="BA170" s="1" t="s">
        <v>1</v>
      </c>
      <c r="BB170" s="1">
        <v>1.5</v>
      </c>
      <c r="BC170" s="1">
        <v>0.9</v>
      </c>
      <c r="BD170" s="1">
        <v>2.5</v>
      </c>
      <c r="BE170" s="1" t="s">
        <v>0</v>
      </c>
      <c r="BF170" s="1" t="s">
        <v>909</v>
      </c>
    </row>
    <row r="171" spans="1:58" x14ac:dyDescent="0.25">
      <c r="A171" s="1" t="s">
        <v>902</v>
      </c>
      <c r="B171" s="1" t="s">
        <v>903</v>
      </c>
      <c r="C171" s="1" t="s">
        <v>904</v>
      </c>
      <c r="D171" s="1">
        <v>2013</v>
      </c>
      <c r="E171" s="1" t="b">
        <v>1</v>
      </c>
      <c r="F171" s="1" t="s">
        <v>1380</v>
      </c>
      <c r="G171" s="1" t="s">
        <v>1380</v>
      </c>
      <c r="H171" s="1" t="s">
        <v>22</v>
      </c>
      <c r="I171" s="1" t="s">
        <v>21</v>
      </c>
      <c r="J171" s="1" t="s">
        <v>20</v>
      </c>
      <c r="K171" s="1" t="s">
        <v>905</v>
      </c>
      <c r="L171" s="1" t="s">
        <v>905</v>
      </c>
      <c r="M171" s="1" t="s">
        <v>148</v>
      </c>
      <c r="N171" s="1" t="s">
        <v>326</v>
      </c>
      <c r="O171" s="1" t="s">
        <v>42</v>
      </c>
      <c r="P171" s="1" t="s">
        <v>133</v>
      </c>
      <c r="Q171" s="1" t="s">
        <v>1527</v>
      </c>
      <c r="R171" s="1" t="s">
        <v>35</v>
      </c>
      <c r="S171" s="1" t="s">
        <v>21</v>
      </c>
      <c r="T171" s="1">
        <v>1</v>
      </c>
      <c r="U171" s="1" t="s">
        <v>14</v>
      </c>
      <c r="V171" s="1" t="s">
        <v>53</v>
      </c>
      <c r="W171" s="1" t="s">
        <v>13</v>
      </c>
      <c r="X171" s="1" t="s">
        <v>0</v>
      </c>
      <c r="Y171" s="1" t="s">
        <v>0</v>
      </c>
      <c r="Z171" s="1" t="s">
        <v>11</v>
      </c>
      <c r="AA171" s="1" t="s">
        <v>916</v>
      </c>
      <c r="AB171" s="1" t="s">
        <v>917</v>
      </c>
      <c r="AC171" s="1" t="s">
        <v>9</v>
      </c>
      <c r="AD171" s="1" t="s">
        <v>9</v>
      </c>
      <c r="AE171" s="1" t="s">
        <v>8</v>
      </c>
      <c r="AF171" s="1" t="s">
        <v>918</v>
      </c>
      <c r="AG171" s="1">
        <v>0.24099999999999999</v>
      </c>
      <c r="AH171" s="1" t="s">
        <v>26</v>
      </c>
      <c r="AI171" s="1" t="s">
        <v>36</v>
      </c>
      <c r="AJ171" s="1" t="s">
        <v>807</v>
      </c>
      <c r="AK171" s="1"/>
      <c r="AL171" s="1"/>
      <c r="AM171" s="1"/>
      <c r="AN171" s="1"/>
      <c r="AO171" s="1"/>
      <c r="AP171" s="1"/>
      <c r="AQ171" s="1" t="s">
        <v>35</v>
      </c>
      <c r="AR171" s="1" t="s">
        <v>1</v>
      </c>
      <c r="AS171" s="1">
        <v>1.4</v>
      </c>
      <c r="AT171" s="1">
        <v>0.8</v>
      </c>
      <c r="AU171" s="1">
        <v>2.4</v>
      </c>
      <c r="AV171" s="1" t="s">
        <v>1</v>
      </c>
      <c r="AW171" s="1">
        <v>2.1</v>
      </c>
      <c r="AX171" s="1">
        <v>0.8</v>
      </c>
      <c r="AY171" s="1">
        <v>5.8</v>
      </c>
      <c r="AZ171" s="1" t="s">
        <v>0</v>
      </c>
      <c r="BA171" s="1" t="s">
        <v>1</v>
      </c>
      <c r="BB171" s="1">
        <v>1.4</v>
      </c>
      <c r="BC171" s="1">
        <v>0.8</v>
      </c>
      <c r="BD171" s="1">
        <v>2.4</v>
      </c>
      <c r="BE171" s="1" t="s">
        <v>0</v>
      </c>
      <c r="BF171" s="1" t="s">
        <v>909</v>
      </c>
    </row>
    <row r="172" spans="1:58" x14ac:dyDescent="0.25">
      <c r="A172" s="1" t="s">
        <v>938</v>
      </c>
      <c r="B172" s="1" t="s">
        <v>939</v>
      </c>
      <c r="C172" s="1" t="s">
        <v>940</v>
      </c>
      <c r="D172" s="1">
        <v>2012</v>
      </c>
      <c r="E172" s="1" t="b">
        <v>1</v>
      </c>
      <c r="F172" s="1" t="s">
        <v>1380</v>
      </c>
      <c r="G172" s="1" t="s">
        <v>1380</v>
      </c>
      <c r="H172" s="1" t="s">
        <v>22</v>
      </c>
      <c r="I172" s="1" t="s">
        <v>21</v>
      </c>
      <c r="J172" s="1" t="s">
        <v>20</v>
      </c>
      <c r="K172" s="1">
        <v>2042</v>
      </c>
      <c r="L172" s="1" t="s">
        <v>941</v>
      </c>
      <c r="M172" s="1" t="s">
        <v>942</v>
      </c>
      <c r="N172" s="1" t="s">
        <v>259</v>
      </c>
      <c r="O172" s="1" t="s">
        <v>42</v>
      </c>
      <c r="P172" s="1" t="s">
        <v>258</v>
      </c>
      <c r="Q172" s="1" t="s">
        <v>1526</v>
      </c>
      <c r="R172" s="1" t="s">
        <v>35</v>
      </c>
      <c r="S172" s="1" t="s">
        <v>21</v>
      </c>
      <c r="T172" s="1">
        <v>2</v>
      </c>
      <c r="U172" s="1" t="s">
        <v>145</v>
      </c>
      <c r="V172" s="1" t="s">
        <v>53</v>
      </c>
      <c r="W172" s="1" t="s">
        <v>13</v>
      </c>
      <c r="X172" s="1">
        <v>371</v>
      </c>
      <c r="Y172" s="1">
        <v>0.182</v>
      </c>
      <c r="Z172" s="1" t="s">
        <v>39</v>
      </c>
      <c r="AA172" s="1" t="s">
        <v>943</v>
      </c>
      <c r="AB172" s="1" t="s">
        <v>944</v>
      </c>
      <c r="AC172" s="1" t="s">
        <v>41</v>
      </c>
      <c r="AD172" s="1" t="s">
        <v>53</v>
      </c>
      <c r="AE172" s="1" t="s">
        <v>8</v>
      </c>
      <c r="AF172" s="1" t="s">
        <v>945</v>
      </c>
      <c r="AG172" s="1" t="s">
        <v>946</v>
      </c>
      <c r="AH172" s="1" t="s">
        <v>26</v>
      </c>
      <c r="AI172" s="1" t="s">
        <v>36</v>
      </c>
      <c r="AJ172" s="1" t="s">
        <v>947</v>
      </c>
      <c r="AK172" s="1"/>
      <c r="AL172" s="1"/>
      <c r="AM172" s="1"/>
      <c r="AN172" s="1"/>
      <c r="AO172" s="1"/>
      <c r="AP172" s="1"/>
      <c r="AQ172" s="1" t="s">
        <v>35</v>
      </c>
      <c r="AR172" s="1" t="s">
        <v>1</v>
      </c>
      <c r="AS172" s="1">
        <v>1.58</v>
      </c>
      <c r="AT172" s="1">
        <v>1.2</v>
      </c>
      <c r="AU172" s="1">
        <v>2.09</v>
      </c>
      <c r="AV172" s="1" t="s">
        <v>1</v>
      </c>
      <c r="AW172" s="1">
        <v>1.72</v>
      </c>
      <c r="AX172" s="1">
        <v>1.31</v>
      </c>
      <c r="AY172" s="1">
        <v>2.2599999999999998</v>
      </c>
      <c r="AZ172" s="1" t="s">
        <v>60</v>
      </c>
      <c r="BA172" s="1" t="s">
        <v>1</v>
      </c>
      <c r="BB172" s="1">
        <v>1.58</v>
      </c>
      <c r="BC172" s="1">
        <v>1.2</v>
      </c>
      <c r="BD172" s="1">
        <v>2.09</v>
      </c>
      <c r="BE172" s="1" t="s">
        <v>0</v>
      </c>
      <c r="BF172" s="1" t="s">
        <v>948</v>
      </c>
    </row>
    <row r="173" spans="1:58" x14ac:dyDescent="0.25">
      <c r="A173" s="1" t="s">
        <v>949</v>
      </c>
      <c r="B173" s="1" t="s">
        <v>950</v>
      </c>
      <c r="C173" s="1" t="s">
        <v>951</v>
      </c>
      <c r="D173" s="1">
        <v>2022</v>
      </c>
      <c r="E173" s="1" t="b">
        <v>0</v>
      </c>
      <c r="F173" s="1" t="s">
        <v>1381</v>
      </c>
      <c r="G173" s="1" t="s">
        <v>1380</v>
      </c>
      <c r="H173" s="1" t="s">
        <v>22</v>
      </c>
      <c r="I173" s="1" t="s">
        <v>21</v>
      </c>
      <c r="J173" s="1" t="s">
        <v>20</v>
      </c>
      <c r="K173" s="1">
        <v>605</v>
      </c>
      <c r="L173" s="1" t="s">
        <v>952</v>
      </c>
      <c r="M173" s="1" t="s">
        <v>18</v>
      </c>
      <c r="N173" s="1" t="s">
        <v>117</v>
      </c>
      <c r="O173" s="1" t="s">
        <v>42</v>
      </c>
      <c r="P173" s="1" t="s">
        <v>15</v>
      </c>
      <c r="Q173" s="1" t="s">
        <v>1526</v>
      </c>
      <c r="R173" s="1" t="s">
        <v>2</v>
      </c>
      <c r="S173" s="1" t="s">
        <v>21</v>
      </c>
      <c r="T173" s="1">
        <v>1</v>
      </c>
      <c r="U173" s="1" t="s">
        <v>112</v>
      </c>
      <c r="V173" s="1" t="s">
        <v>53</v>
      </c>
      <c r="W173" s="1" t="s">
        <v>13</v>
      </c>
      <c r="X173" s="1" t="s">
        <v>953</v>
      </c>
      <c r="Y173" s="1" t="s">
        <v>954</v>
      </c>
      <c r="Z173" s="1" t="s">
        <v>80</v>
      </c>
      <c r="AA173" s="1" t="s">
        <v>959</v>
      </c>
      <c r="AB173" s="1" t="s">
        <v>960</v>
      </c>
      <c r="AC173" s="1" t="s">
        <v>41</v>
      </c>
      <c r="AD173" s="1" t="s">
        <v>53</v>
      </c>
      <c r="AE173" s="1" t="s">
        <v>63</v>
      </c>
      <c r="AF173" s="1" t="s">
        <v>245</v>
      </c>
      <c r="AG173" s="1" t="s">
        <v>961</v>
      </c>
      <c r="AH173" s="1" t="s">
        <v>26</v>
      </c>
      <c r="AI173" s="1" t="s">
        <v>36</v>
      </c>
      <c r="AJ173" s="1" t="s">
        <v>807</v>
      </c>
      <c r="AK173" s="1"/>
      <c r="AL173" s="1"/>
      <c r="AM173" s="1"/>
      <c r="AN173" s="1"/>
      <c r="AO173" s="1"/>
      <c r="AP173" s="1"/>
      <c r="AQ173" s="1" t="s">
        <v>2</v>
      </c>
      <c r="AR173" s="1" t="s">
        <v>1</v>
      </c>
      <c r="AS173" s="1">
        <v>2.5299999999999998</v>
      </c>
      <c r="AT173" s="1">
        <v>1.48</v>
      </c>
      <c r="AU173" s="1">
        <v>4.32</v>
      </c>
      <c r="AV173" s="1" t="s">
        <v>1</v>
      </c>
      <c r="AW173" s="1">
        <v>2.5299999999999998</v>
      </c>
      <c r="AX173" s="1">
        <v>1.48</v>
      </c>
      <c r="AY173" s="1">
        <v>4.32</v>
      </c>
      <c r="AZ173" s="1" t="s">
        <v>60</v>
      </c>
      <c r="BA173" s="1" t="s">
        <v>0</v>
      </c>
      <c r="BB173" s="1"/>
      <c r="BC173" s="1"/>
      <c r="BD173" s="1"/>
      <c r="BE173" s="1" t="s">
        <v>0</v>
      </c>
      <c r="BF173" s="1" t="s">
        <v>0</v>
      </c>
    </row>
    <row r="174" spans="1:58" x14ac:dyDescent="0.25">
      <c r="A174" s="1" t="s">
        <v>949</v>
      </c>
      <c r="B174" s="1" t="s">
        <v>950</v>
      </c>
      <c r="C174" s="1" t="s">
        <v>951</v>
      </c>
      <c r="D174" s="1">
        <v>2022</v>
      </c>
      <c r="E174" s="1" t="b">
        <v>0</v>
      </c>
      <c r="F174" s="1" t="s">
        <v>1381</v>
      </c>
      <c r="G174" s="1" t="s">
        <v>1380</v>
      </c>
      <c r="H174" s="1" t="s">
        <v>22</v>
      </c>
      <c r="I174" s="1" t="s">
        <v>21</v>
      </c>
      <c r="J174" s="1" t="s">
        <v>20</v>
      </c>
      <c r="K174" s="1">
        <v>605</v>
      </c>
      <c r="L174" s="1" t="s">
        <v>952</v>
      </c>
      <c r="M174" s="1" t="s">
        <v>18</v>
      </c>
      <c r="N174" s="1" t="s">
        <v>117</v>
      </c>
      <c r="O174" s="1" t="s">
        <v>42</v>
      </c>
      <c r="P174" s="1" t="s">
        <v>15</v>
      </c>
      <c r="Q174" s="1" t="s">
        <v>1526</v>
      </c>
      <c r="R174" s="1" t="s">
        <v>35</v>
      </c>
      <c r="S174" s="1" t="s">
        <v>21</v>
      </c>
      <c r="T174" s="1">
        <v>2</v>
      </c>
      <c r="U174" s="1" t="s">
        <v>112</v>
      </c>
      <c r="V174" s="1" t="s">
        <v>53</v>
      </c>
      <c r="W174" s="1" t="s">
        <v>13</v>
      </c>
      <c r="X174" s="1" t="s">
        <v>953</v>
      </c>
      <c r="Y174" s="1" t="s">
        <v>954</v>
      </c>
      <c r="Z174" s="1" t="s">
        <v>80</v>
      </c>
      <c r="AA174" s="1" t="s">
        <v>962</v>
      </c>
      <c r="AB174" s="1" t="s">
        <v>960</v>
      </c>
      <c r="AC174" s="1" t="s">
        <v>41</v>
      </c>
      <c r="AD174" s="1" t="s">
        <v>53</v>
      </c>
      <c r="AE174" s="1" t="s">
        <v>160</v>
      </c>
      <c r="AF174" s="1" t="s">
        <v>908</v>
      </c>
      <c r="AG174" s="1" t="s">
        <v>963</v>
      </c>
      <c r="AH174" s="1" t="s">
        <v>26</v>
      </c>
      <c r="AI174" s="1" t="s">
        <v>36</v>
      </c>
      <c r="AJ174" s="1" t="s">
        <v>807</v>
      </c>
      <c r="AK174" s="1"/>
      <c r="AL174" s="1"/>
      <c r="AM174" s="1"/>
      <c r="AN174" s="1"/>
      <c r="AO174" s="1"/>
      <c r="AP174" s="1"/>
      <c r="AQ174" s="1" t="s">
        <v>35</v>
      </c>
      <c r="AR174" s="1" t="s">
        <v>1</v>
      </c>
      <c r="AS174" s="1">
        <v>1.97</v>
      </c>
      <c r="AT174" s="1">
        <v>1.05</v>
      </c>
      <c r="AU174" s="1">
        <v>3.67</v>
      </c>
      <c r="AV174" s="1" t="s">
        <v>1</v>
      </c>
      <c r="AW174" s="1">
        <v>1.51</v>
      </c>
      <c r="AX174" s="1">
        <v>0.89</v>
      </c>
      <c r="AY174" s="1">
        <v>2.58</v>
      </c>
      <c r="AZ174" s="1" t="s">
        <v>964</v>
      </c>
      <c r="BA174" s="1" t="s">
        <v>1</v>
      </c>
      <c r="BB174" s="1">
        <v>1.97</v>
      </c>
      <c r="BC174" s="1">
        <v>1.05</v>
      </c>
      <c r="BD174" s="1">
        <v>3.67</v>
      </c>
      <c r="BE174" s="1">
        <v>3.4000000000000002E-2</v>
      </c>
      <c r="BF174" s="1" t="s">
        <v>965</v>
      </c>
    </row>
    <row r="175" spans="1:58" x14ac:dyDescent="0.25">
      <c r="A175" s="1" t="s">
        <v>949</v>
      </c>
      <c r="B175" s="1" t="s">
        <v>950</v>
      </c>
      <c r="C175" s="1" t="s">
        <v>951</v>
      </c>
      <c r="D175" s="1">
        <v>2022</v>
      </c>
      <c r="E175" s="1" t="b">
        <v>0</v>
      </c>
      <c r="F175" s="1" t="s">
        <v>1381</v>
      </c>
      <c r="G175" s="1" t="s">
        <v>1380</v>
      </c>
      <c r="H175" s="1" t="s">
        <v>22</v>
      </c>
      <c r="I175" s="1" t="s">
        <v>21</v>
      </c>
      <c r="J175" s="1" t="s">
        <v>20</v>
      </c>
      <c r="K175" s="1">
        <v>605</v>
      </c>
      <c r="L175" s="1" t="s">
        <v>952</v>
      </c>
      <c r="M175" s="1" t="s">
        <v>18</v>
      </c>
      <c r="N175" s="1" t="s">
        <v>117</v>
      </c>
      <c r="O175" s="1" t="s">
        <v>42</v>
      </c>
      <c r="P175" s="1" t="s">
        <v>15</v>
      </c>
      <c r="Q175" s="1" t="s">
        <v>1526</v>
      </c>
      <c r="R175" s="1" t="s">
        <v>2</v>
      </c>
      <c r="S175" s="1" t="s">
        <v>21</v>
      </c>
      <c r="T175" s="1">
        <v>1</v>
      </c>
      <c r="U175" s="1" t="s">
        <v>112</v>
      </c>
      <c r="V175" s="1" t="s">
        <v>53</v>
      </c>
      <c r="W175" s="1" t="s">
        <v>13</v>
      </c>
      <c r="X175" s="1" t="s">
        <v>953</v>
      </c>
      <c r="Y175" s="1" t="s">
        <v>954</v>
      </c>
      <c r="Z175" s="1" t="s">
        <v>80</v>
      </c>
      <c r="AA175" s="1" t="s">
        <v>966</v>
      </c>
      <c r="AB175" s="1" t="s">
        <v>80</v>
      </c>
      <c r="AC175" s="1" t="s">
        <v>41</v>
      </c>
      <c r="AD175" s="1" t="s">
        <v>53</v>
      </c>
      <c r="AE175" s="1" t="s">
        <v>74</v>
      </c>
      <c r="AF175" s="1" t="s">
        <v>717</v>
      </c>
      <c r="AG175" s="1">
        <v>8.2644627999999998E-2</v>
      </c>
      <c r="AH175" s="1" t="s">
        <v>26</v>
      </c>
      <c r="AI175" s="1" t="s">
        <v>36</v>
      </c>
      <c r="AJ175" s="1" t="s">
        <v>807</v>
      </c>
      <c r="AK175" s="1"/>
      <c r="AL175" s="1"/>
      <c r="AM175" s="1"/>
      <c r="AN175" s="1"/>
      <c r="AO175" s="1"/>
      <c r="AP175" s="1"/>
      <c r="AQ175" s="1" t="s">
        <v>2</v>
      </c>
      <c r="AR175" s="1" t="s">
        <v>1</v>
      </c>
      <c r="AS175" s="1">
        <v>1.23</v>
      </c>
      <c r="AT175" s="1">
        <v>0.52</v>
      </c>
      <c r="AU175" s="1">
        <v>2.92</v>
      </c>
      <c r="AV175" s="1" t="s">
        <v>1</v>
      </c>
      <c r="AW175" s="1">
        <v>1.23</v>
      </c>
      <c r="AX175" s="1">
        <v>0.52</v>
      </c>
      <c r="AY175" s="1">
        <v>2.92</v>
      </c>
      <c r="AZ175" s="1" t="s">
        <v>967</v>
      </c>
      <c r="BA175" s="1" t="s">
        <v>0</v>
      </c>
      <c r="BB175" s="1"/>
      <c r="BC175" s="1"/>
      <c r="BD175" s="1"/>
      <c r="BE175" s="1" t="s">
        <v>0</v>
      </c>
      <c r="BF175" s="1" t="s">
        <v>0</v>
      </c>
    </row>
    <row r="176" spans="1:58" x14ac:dyDescent="0.25">
      <c r="A176" s="1" t="s">
        <v>949</v>
      </c>
      <c r="B176" s="1" t="s">
        <v>950</v>
      </c>
      <c r="C176" s="1" t="s">
        <v>951</v>
      </c>
      <c r="D176" s="1">
        <v>2022</v>
      </c>
      <c r="E176" s="1" t="b">
        <v>0</v>
      </c>
      <c r="F176" s="1" t="s">
        <v>1381</v>
      </c>
      <c r="G176" s="1" t="s">
        <v>1380</v>
      </c>
      <c r="H176" s="1" t="s">
        <v>22</v>
      </c>
      <c r="I176" s="1" t="s">
        <v>21</v>
      </c>
      <c r="J176" s="1" t="s">
        <v>20</v>
      </c>
      <c r="K176" s="1">
        <v>605</v>
      </c>
      <c r="L176" s="1" t="s">
        <v>952</v>
      </c>
      <c r="M176" s="1" t="s">
        <v>18</v>
      </c>
      <c r="N176" s="1" t="s">
        <v>117</v>
      </c>
      <c r="O176" s="1" t="s">
        <v>42</v>
      </c>
      <c r="P176" s="1" t="s">
        <v>15</v>
      </c>
      <c r="Q176" s="1" t="s">
        <v>1526</v>
      </c>
      <c r="R176" s="1" t="s">
        <v>2</v>
      </c>
      <c r="S176" s="1" t="s">
        <v>21</v>
      </c>
      <c r="T176" s="1">
        <v>1</v>
      </c>
      <c r="U176" s="1" t="s">
        <v>112</v>
      </c>
      <c r="V176" s="1" t="s">
        <v>53</v>
      </c>
      <c r="W176" s="1" t="s">
        <v>13</v>
      </c>
      <c r="X176" s="1" t="s">
        <v>953</v>
      </c>
      <c r="Y176" s="1" t="s">
        <v>954</v>
      </c>
      <c r="Z176" s="1" t="s">
        <v>11</v>
      </c>
      <c r="AA176" s="1" t="s">
        <v>955</v>
      </c>
      <c r="AB176" s="1" t="s">
        <v>956</v>
      </c>
      <c r="AC176" s="1" t="s">
        <v>41</v>
      </c>
      <c r="AD176" s="1" t="s">
        <v>53</v>
      </c>
      <c r="AE176" s="1" t="s">
        <v>8</v>
      </c>
      <c r="AF176" s="1" t="s">
        <v>957</v>
      </c>
      <c r="AG176" s="1" t="s">
        <v>958</v>
      </c>
      <c r="AH176" s="1" t="s">
        <v>26</v>
      </c>
      <c r="AI176" s="1" t="s">
        <v>36</v>
      </c>
      <c r="AJ176" s="1" t="s">
        <v>807</v>
      </c>
      <c r="AK176" s="1"/>
      <c r="AL176" s="1"/>
      <c r="AM176" s="1"/>
      <c r="AN176" s="1"/>
      <c r="AO176" s="1"/>
      <c r="AP176" s="1"/>
      <c r="AQ176" s="1" t="s">
        <v>2</v>
      </c>
      <c r="AR176" s="1" t="s">
        <v>1</v>
      </c>
      <c r="AS176" s="1">
        <v>1.4</v>
      </c>
      <c r="AT176" s="1">
        <v>0.8</v>
      </c>
      <c r="AU176" s="1">
        <v>2.4500000000000002</v>
      </c>
      <c r="AV176" s="1" t="s">
        <v>1</v>
      </c>
      <c r="AW176" s="1">
        <v>1.4</v>
      </c>
      <c r="AX176" s="1">
        <v>0.8</v>
      </c>
      <c r="AY176" s="1">
        <v>2.4500000000000002</v>
      </c>
      <c r="AZ176" s="1" t="s">
        <v>563</v>
      </c>
      <c r="BA176" s="1" t="s">
        <v>0</v>
      </c>
      <c r="BB176" s="1"/>
      <c r="BC176" s="1"/>
      <c r="BD176" s="1"/>
      <c r="BE176" s="1" t="s">
        <v>0</v>
      </c>
      <c r="BF176" s="1" t="s">
        <v>0</v>
      </c>
    </row>
    <row r="177" spans="1:58" x14ac:dyDescent="0.25">
      <c r="A177" s="1" t="s">
        <v>968</v>
      </c>
      <c r="B177" s="1" t="s">
        <v>969</v>
      </c>
      <c r="C177" s="1" t="s">
        <v>970</v>
      </c>
      <c r="D177" s="1">
        <v>2016</v>
      </c>
      <c r="E177" s="1" t="b">
        <v>0</v>
      </c>
      <c r="F177" s="1" t="s">
        <v>1380</v>
      </c>
      <c r="G177" s="1" t="s">
        <v>1380</v>
      </c>
      <c r="H177" s="1" t="s">
        <v>22</v>
      </c>
      <c r="I177" s="1" t="s">
        <v>21</v>
      </c>
      <c r="J177" s="1" t="s">
        <v>20</v>
      </c>
      <c r="K177" s="1" t="s">
        <v>971</v>
      </c>
      <c r="L177" s="1">
        <v>163</v>
      </c>
      <c r="M177" s="1" t="s">
        <v>18</v>
      </c>
      <c r="N177" s="1" t="s">
        <v>147</v>
      </c>
      <c r="O177" s="1" t="s">
        <v>972</v>
      </c>
      <c r="P177" s="1" t="s">
        <v>15</v>
      </c>
      <c r="Q177" s="1" t="s">
        <v>1526</v>
      </c>
      <c r="R177" s="1" t="s">
        <v>35</v>
      </c>
      <c r="S177" s="1" t="s">
        <v>21</v>
      </c>
      <c r="T177" s="1">
        <v>2</v>
      </c>
      <c r="U177" s="1" t="s">
        <v>41</v>
      </c>
      <c r="V177" s="1" t="s">
        <v>53</v>
      </c>
      <c r="W177" s="1" t="s">
        <v>13</v>
      </c>
      <c r="X177" s="1">
        <v>163</v>
      </c>
      <c r="Y177" s="1">
        <v>1</v>
      </c>
      <c r="Z177" s="1" t="s">
        <v>80</v>
      </c>
      <c r="AA177" s="1" t="s">
        <v>973</v>
      </c>
      <c r="AB177" s="1" t="s">
        <v>974</v>
      </c>
      <c r="AC177" s="1" t="s">
        <v>41</v>
      </c>
      <c r="AD177" s="1" t="s">
        <v>53</v>
      </c>
      <c r="AE177" s="1" t="s">
        <v>8</v>
      </c>
      <c r="AF177" s="1" t="s">
        <v>0</v>
      </c>
      <c r="AG177" s="1" t="s">
        <v>0</v>
      </c>
      <c r="AH177" s="1" t="s">
        <v>26</v>
      </c>
      <c r="AI177" s="1" t="s">
        <v>30</v>
      </c>
      <c r="AJ177" s="1" t="s">
        <v>975</v>
      </c>
      <c r="AK177" s="1" t="s">
        <v>28</v>
      </c>
      <c r="AL177" s="1" t="s">
        <v>976</v>
      </c>
      <c r="AM177" s="1" t="s">
        <v>26</v>
      </c>
      <c r="AN177" s="1"/>
      <c r="AO177" s="1"/>
      <c r="AP177" s="1"/>
      <c r="AQ177" s="1" t="s">
        <v>35</v>
      </c>
      <c r="AR177" s="1" t="s">
        <v>139</v>
      </c>
      <c r="AS177" s="1">
        <v>0.87</v>
      </c>
      <c r="AT177" s="1">
        <v>0.67</v>
      </c>
      <c r="AU177" s="1">
        <v>1.1299999999999999</v>
      </c>
      <c r="AV177" s="1" t="s">
        <v>139</v>
      </c>
      <c r="AW177" s="1">
        <v>0.84</v>
      </c>
      <c r="AX177" s="1">
        <v>0.64</v>
      </c>
      <c r="AY177" s="1">
        <v>1.1000000000000001</v>
      </c>
      <c r="AZ177" s="1" t="s">
        <v>977</v>
      </c>
      <c r="BA177" s="1" t="s">
        <v>139</v>
      </c>
      <c r="BB177" s="1">
        <v>0.87</v>
      </c>
      <c r="BC177" s="1">
        <v>0.67</v>
      </c>
      <c r="BD177" s="1">
        <v>1.1299999999999999</v>
      </c>
      <c r="BE177" s="1" t="s">
        <v>978</v>
      </c>
      <c r="BF177" s="1" t="s">
        <v>979</v>
      </c>
    </row>
    <row r="178" spans="1:58" x14ac:dyDescent="0.25">
      <c r="A178" s="1" t="s">
        <v>980</v>
      </c>
      <c r="B178" s="1" t="s">
        <v>981</v>
      </c>
      <c r="C178" s="1" t="s">
        <v>982</v>
      </c>
      <c r="D178" s="1">
        <v>2019</v>
      </c>
      <c r="E178" s="1" t="b">
        <v>0</v>
      </c>
      <c r="F178" s="1" t="s">
        <v>1381</v>
      </c>
      <c r="G178" s="1" t="s">
        <v>1380</v>
      </c>
      <c r="H178" s="1" t="s">
        <v>22</v>
      </c>
      <c r="I178" s="1" t="s">
        <v>21</v>
      </c>
      <c r="J178" s="1" t="s">
        <v>118</v>
      </c>
      <c r="K178" s="1">
        <v>262</v>
      </c>
      <c r="L178" s="1">
        <v>249</v>
      </c>
      <c r="M178" s="1" t="s">
        <v>260</v>
      </c>
      <c r="N178" s="1" t="s">
        <v>983</v>
      </c>
      <c r="O178" s="1" t="s">
        <v>984</v>
      </c>
      <c r="P178" s="1" t="s">
        <v>133</v>
      </c>
      <c r="Q178" s="1" t="s">
        <v>1526</v>
      </c>
      <c r="R178" s="1" t="s">
        <v>2</v>
      </c>
      <c r="S178" s="1" t="s">
        <v>21</v>
      </c>
      <c r="T178" s="1">
        <v>1</v>
      </c>
      <c r="U178" s="1" t="s">
        <v>67</v>
      </c>
      <c r="V178" s="1" t="s">
        <v>53</v>
      </c>
      <c r="W178" s="1" t="s">
        <v>13</v>
      </c>
      <c r="X178" s="1" t="s">
        <v>458</v>
      </c>
      <c r="Y178" s="1" t="s">
        <v>709</v>
      </c>
      <c r="Z178" s="1" t="s">
        <v>80</v>
      </c>
      <c r="AA178" s="1" t="s">
        <v>989</v>
      </c>
      <c r="AB178" s="1" t="s">
        <v>989</v>
      </c>
      <c r="AC178" s="1" t="s">
        <v>9</v>
      </c>
      <c r="AD178" s="1" t="s">
        <v>9</v>
      </c>
      <c r="AE178" s="1" t="s">
        <v>987</v>
      </c>
      <c r="AF178" s="1" t="s">
        <v>0</v>
      </c>
      <c r="AG178" s="1" t="s">
        <v>0</v>
      </c>
      <c r="AH178" s="1" t="s">
        <v>26</v>
      </c>
      <c r="AI178" s="1" t="s">
        <v>36</v>
      </c>
      <c r="AJ178" s="1" t="s">
        <v>213</v>
      </c>
      <c r="AK178" s="1"/>
      <c r="AL178" s="1"/>
      <c r="AM178" s="1"/>
      <c r="AN178" s="1"/>
      <c r="AO178" s="1"/>
      <c r="AP178" s="1"/>
      <c r="AQ178" s="1" t="s">
        <v>2</v>
      </c>
      <c r="AR178" s="1" t="s">
        <v>1</v>
      </c>
      <c r="AS178" s="1">
        <v>1.17</v>
      </c>
      <c r="AT178" s="1">
        <v>0.39</v>
      </c>
      <c r="AU178" s="1">
        <v>3.53</v>
      </c>
      <c r="AV178" s="1" t="s">
        <v>1</v>
      </c>
      <c r="AW178" s="1">
        <v>1.17</v>
      </c>
      <c r="AX178" s="1">
        <v>0.39</v>
      </c>
      <c r="AY178" s="1">
        <v>3.53</v>
      </c>
      <c r="AZ178" s="1" t="s">
        <v>990</v>
      </c>
      <c r="BA178" s="1" t="s">
        <v>0</v>
      </c>
      <c r="BB178" s="1"/>
      <c r="BC178" s="1"/>
      <c r="BD178" s="1"/>
      <c r="BE178" s="1" t="s">
        <v>0</v>
      </c>
      <c r="BF178" s="1" t="s">
        <v>0</v>
      </c>
    </row>
    <row r="179" spans="1:58" x14ac:dyDescent="0.25">
      <c r="A179" s="1" t="s">
        <v>980</v>
      </c>
      <c r="B179" s="1" t="s">
        <v>981</v>
      </c>
      <c r="C179" s="1" t="s">
        <v>982</v>
      </c>
      <c r="D179" s="1">
        <v>2019</v>
      </c>
      <c r="E179" s="1" t="b">
        <v>0</v>
      </c>
      <c r="F179" s="1" t="s">
        <v>1381</v>
      </c>
      <c r="G179" s="1" t="s">
        <v>1380</v>
      </c>
      <c r="H179" s="1" t="s">
        <v>22</v>
      </c>
      <c r="I179" s="1" t="s">
        <v>21</v>
      </c>
      <c r="J179" s="1" t="s">
        <v>118</v>
      </c>
      <c r="K179" s="1">
        <v>262</v>
      </c>
      <c r="L179" s="1">
        <v>249</v>
      </c>
      <c r="M179" s="1" t="s">
        <v>260</v>
      </c>
      <c r="N179" s="1" t="s">
        <v>983</v>
      </c>
      <c r="O179" s="1" t="s">
        <v>984</v>
      </c>
      <c r="P179" s="1" t="s">
        <v>133</v>
      </c>
      <c r="Q179" s="1" t="s">
        <v>1526</v>
      </c>
      <c r="R179" s="1" t="s">
        <v>2</v>
      </c>
      <c r="S179" s="1" t="s">
        <v>21</v>
      </c>
      <c r="T179" s="1">
        <v>1</v>
      </c>
      <c r="U179" s="1" t="s">
        <v>67</v>
      </c>
      <c r="V179" s="1" t="s">
        <v>53</v>
      </c>
      <c r="W179" s="1" t="s">
        <v>13</v>
      </c>
      <c r="X179" s="1" t="s">
        <v>458</v>
      </c>
      <c r="Y179" s="1" t="s">
        <v>709</v>
      </c>
      <c r="Z179" s="1" t="s">
        <v>11</v>
      </c>
      <c r="AA179" s="1" t="s">
        <v>985</v>
      </c>
      <c r="AB179" s="1" t="s">
        <v>986</v>
      </c>
      <c r="AC179" s="1" t="s">
        <v>9</v>
      </c>
      <c r="AD179" s="1" t="s">
        <v>9</v>
      </c>
      <c r="AE179" s="1" t="s">
        <v>987</v>
      </c>
      <c r="AF179" s="1" t="s">
        <v>0</v>
      </c>
      <c r="AG179" s="1" t="s">
        <v>0</v>
      </c>
      <c r="AH179" s="1" t="s">
        <v>26</v>
      </c>
      <c r="AI179" s="1" t="s">
        <v>36</v>
      </c>
      <c r="AJ179" s="1" t="s">
        <v>213</v>
      </c>
      <c r="AK179" s="1"/>
      <c r="AL179" s="1"/>
      <c r="AM179" s="1"/>
      <c r="AN179" s="1"/>
      <c r="AO179" s="1"/>
      <c r="AP179" s="1"/>
      <c r="AQ179" s="1" t="s">
        <v>2</v>
      </c>
      <c r="AR179" s="1" t="s">
        <v>1</v>
      </c>
      <c r="AS179" s="1">
        <v>0.56999999999999995</v>
      </c>
      <c r="AT179" s="1">
        <v>0.18</v>
      </c>
      <c r="AU179" s="1">
        <v>1.8</v>
      </c>
      <c r="AV179" s="1" t="s">
        <v>1</v>
      </c>
      <c r="AW179" s="1">
        <v>0.56999999999999995</v>
      </c>
      <c r="AX179" s="1">
        <v>0.18</v>
      </c>
      <c r="AY179" s="1">
        <v>1.8</v>
      </c>
      <c r="AZ179" s="1" t="s">
        <v>988</v>
      </c>
      <c r="BA179" s="1" t="s">
        <v>0</v>
      </c>
      <c r="BB179" s="1"/>
      <c r="BC179" s="1"/>
      <c r="BD179" s="1"/>
      <c r="BE179" s="1" t="s">
        <v>0</v>
      </c>
      <c r="BF179" s="1" t="s">
        <v>0</v>
      </c>
    </row>
    <row r="180" spans="1:58" x14ac:dyDescent="0.25">
      <c r="A180" s="1" t="s">
        <v>980</v>
      </c>
      <c r="B180" s="1" t="s">
        <v>981</v>
      </c>
      <c r="C180" s="1" t="s">
        <v>982</v>
      </c>
      <c r="D180" s="1">
        <v>2019</v>
      </c>
      <c r="E180" s="1" t="b">
        <v>0</v>
      </c>
      <c r="F180" s="1" t="s">
        <v>1381</v>
      </c>
      <c r="G180" s="1" t="s">
        <v>1380</v>
      </c>
      <c r="H180" s="1" t="s">
        <v>22</v>
      </c>
      <c r="I180" s="1" t="s">
        <v>21</v>
      </c>
      <c r="J180" s="1" t="s">
        <v>118</v>
      </c>
      <c r="K180" s="1">
        <v>62</v>
      </c>
      <c r="L180" s="1" t="s">
        <v>991</v>
      </c>
      <c r="M180" s="1" t="s">
        <v>260</v>
      </c>
      <c r="N180" s="1" t="s">
        <v>983</v>
      </c>
      <c r="O180" s="1" t="s">
        <v>984</v>
      </c>
      <c r="P180" s="1" t="s">
        <v>133</v>
      </c>
      <c r="Q180" s="1" t="s">
        <v>1526</v>
      </c>
      <c r="R180" s="1" t="s">
        <v>35</v>
      </c>
      <c r="S180" s="1" t="s">
        <v>21</v>
      </c>
      <c r="T180" s="1">
        <v>2</v>
      </c>
      <c r="U180" s="1" t="s">
        <v>67</v>
      </c>
      <c r="V180" s="1" t="s">
        <v>53</v>
      </c>
      <c r="W180" s="1" t="s">
        <v>13</v>
      </c>
      <c r="X180" s="1" t="s">
        <v>887</v>
      </c>
      <c r="Y180" s="1" t="s">
        <v>669</v>
      </c>
      <c r="Z180" s="1" t="s">
        <v>11</v>
      </c>
      <c r="AA180" s="1" t="s">
        <v>985</v>
      </c>
      <c r="AB180" s="1" t="s">
        <v>992</v>
      </c>
      <c r="AC180" s="1" t="s">
        <v>9</v>
      </c>
      <c r="AD180" s="1" t="s">
        <v>9</v>
      </c>
      <c r="AE180" s="1" t="s">
        <v>987</v>
      </c>
      <c r="AF180" s="1" t="s">
        <v>0</v>
      </c>
      <c r="AG180" s="1" t="s">
        <v>0</v>
      </c>
      <c r="AH180" s="1" t="s">
        <v>26</v>
      </c>
      <c r="AI180" s="1" t="s">
        <v>36</v>
      </c>
      <c r="AJ180" s="1" t="s">
        <v>213</v>
      </c>
      <c r="AK180" s="1"/>
      <c r="AL180" s="1"/>
      <c r="AM180" s="1"/>
      <c r="AN180" s="1"/>
      <c r="AO180" s="1"/>
      <c r="AP180" s="1"/>
      <c r="AQ180" s="1" t="s">
        <v>35</v>
      </c>
      <c r="AR180" s="1" t="s">
        <v>1</v>
      </c>
      <c r="AS180" s="1">
        <v>4.5599999999999996</v>
      </c>
      <c r="AT180" s="1">
        <v>1.2</v>
      </c>
      <c r="AU180" s="1">
        <v>17.32</v>
      </c>
      <c r="AV180" s="1" t="s">
        <v>1</v>
      </c>
      <c r="AW180" s="1">
        <v>3.39</v>
      </c>
      <c r="AX180" s="1">
        <v>2.73</v>
      </c>
      <c r="AY180" s="1">
        <v>4.21</v>
      </c>
      <c r="AZ180" s="1" t="s">
        <v>60</v>
      </c>
      <c r="BA180" s="1" t="s">
        <v>1</v>
      </c>
      <c r="BB180" s="1">
        <v>4.5599999999999996</v>
      </c>
      <c r="BC180" s="1">
        <v>1.2</v>
      </c>
      <c r="BD180" s="1">
        <v>17.32</v>
      </c>
      <c r="BE180" s="1">
        <v>2.5999999999999999E-2</v>
      </c>
      <c r="BF180" s="1" t="s">
        <v>993</v>
      </c>
    </row>
    <row r="181" spans="1:58" x14ac:dyDescent="0.25">
      <c r="A181" s="1" t="s">
        <v>994</v>
      </c>
      <c r="B181" s="1" t="s">
        <v>995</v>
      </c>
      <c r="C181" s="1" t="s">
        <v>996</v>
      </c>
      <c r="D181" s="1">
        <v>2017</v>
      </c>
      <c r="E181" s="1" t="b">
        <v>0</v>
      </c>
      <c r="F181" s="1" t="s">
        <v>1380</v>
      </c>
      <c r="G181" s="1" t="s">
        <v>1380</v>
      </c>
      <c r="H181" s="1" t="s">
        <v>22</v>
      </c>
      <c r="I181" s="1" t="s">
        <v>21</v>
      </c>
      <c r="J181" s="1" t="s">
        <v>386</v>
      </c>
      <c r="K181" s="1">
        <v>1337</v>
      </c>
      <c r="L181" s="1">
        <v>1295</v>
      </c>
      <c r="M181" s="1" t="s">
        <v>148</v>
      </c>
      <c r="N181" s="1" t="s">
        <v>601</v>
      </c>
      <c r="O181" s="1" t="s">
        <v>42</v>
      </c>
      <c r="P181" s="1" t="s">
        <v>467</v>
      </c>
      <c r="Q181" s="1" t="s">
        <v>1527</v>
      </c>
      <c r="R181" s="1" t="s">
        <v>35</v>
      </c>
      <c r="S181" s="1" t="s">
        <v>21</v>
      </c>
      <c r="T181" s="1">
        <v>1</v>
      </c>
      <c r="U181" s="1" t="s">
        <v>41</v>
      </c>
      <c r="V181" s="1" t="s">
        <v>53</v>
      </c>
      <c r="W181" s="1" t="s">
        <v>13</v>
      </c>
      <c r="X181" s="1" t="s">
        <v>57</v>
      </c>
      <c r="Y181" s="1" t="s">
        <v>57</v>
      </c>
      <c r="Z181" s="1" t="s">
        <v>11</v>
      </c>
      <c r="AA181" s="1" t="s">
        <v>997</v>
      </c>
      <c r="AB181" s="1" t="s">
        <v>11</v>
      </c>
      <c r="AC181" s="1" t="s">
        <v>9</v>
      </c>
      <c r="AD181" s="1" t="s">
        <v>9</v>
      </c>
      <c r="AE181" s="1" t="s">
        <v>8</v>
      </c>
      <c r="AF181" s="1" t="s">
        <v>998</v>
      </c>
      <c r="AG181" s="1" t="s">
        <v>999</v>
      </c>
      <c r="AH181" s="1" t="s">
        <v>26</v>
      </c>
      <c r="AI181" s="1" t="s">
        <v>56</v>
      </c>
      <c r="AJ181" s="1" t="s">
        <v>55</v>
      </c>
      <c r="AK181" s="1"/>
      <c r="AL181" s="1"/>
      <c r="AM181" s="1"/>
      <c r="AN181" s="1"/>
      <c r="AO181" s="1" t="s">
        <v>54</v>
      </c>
      <c r="AP181" s="1" t="s">
        <v>53</v>
      </c>
      <c r="AQ181" s="1" t="s">
        <v>35</v>
      </c>
      <c r="AR181" s="1" t="s">
        <v>139</v>
      </c>
      <c r="AS181" s="1">
        <v>1.02</v>
      </c>
      <c r="AT181" s="1">
        <v>0.91</v>
      </c>
      <c r="AU181" s="1">
        <v>1.1399999999999999</v>
      </c>
      <c r="AV181" s="1" t="s">
        <v>139</v>
      </c>
      <c r="AW181" s="1">
        <v>1.0900000000000001</v>
      </c>
      <c r="AX181" s="1">
        <v>0.97</v>
      </c>
      <c r="AY181" s="1">
        <v>1.22</v>
      </c>
      <c r="AZ181" s="1" t="s">
        <v>0</v>
      </c>
      <c r="BA181" s="1" t="s">
        <v>139</v>
      </c>
      <c r="BB181" s="1">
        <v>1.02</v>
      </c>
      <c r="BC181" s="1">
        <v>0.91</v>
      </c>
      <c r="BD181" s="1">
        <v>1.1399999999999999</v>
      </c>
      <c r="BE181" s="1" t="s">
        <v>0</v>
      </c>
      <c r="BF181" s="1" t="s">
        <v>1000</v>
      </c>
    </row>
    <row r="182" spans="1:58" x14ac:dyDescent="0.25">
      <c r="A182" s="1" t="s">
        <v>1001</v>
      </c>
      <c r="B182" s="1" t="s">
        <v>1002</v>
      </c>
      <c r="C182" s="1" t="s">
        <v>1003</v>
      </c>
      <c r="D182" s="1">
        <v>2017</v>
      </c>
      <c r="E182" s="1" t="b">
        <v>0</v>
      </c>
      <c r="F182" s="1" t="s">
        <v>1380</v>
      </c>
      <c r="G182" s="1" t="s">
        <v>1380</v>
      </c>
      <c r="H182" s="1" t="s">
        <v>22</v>
      </c>
      <c r="I182" s="1" t="s">
        <v>21</v>
      </c>
      <c r="J182" s="1" t="s">
        <v>20</v>
      </c>
      <c r="K182" s="1">
        <v>610</v>
      </c>
      <c r="L182" s="1" t="s">
        <v>1004</v>
      </c>
      <c r="M182" s="1" t="s">
        <v>278</v>
      </c>
      <c r="N182" s="1" t="s">
        <v>1005</v>
      </c>
      <c r="O182" s="1" t="s">
        <v>1006</v>
      </c>
      <c r="P182" s="1" t="s">
        <v>258</v>
      </c>
      <c r="Q182" s="1" t="s">
        <v>1526</v>
      </c>
      <c r="R182" s="1" t="s">
        <v>35</v>
      </c>
      <c r="S182" s="1" t="s">
        <v>21</v>
      </c>
      <c r="T182" s="1">
        <v>2</v>
      </c>
      <c r="U182" s="1" t="s">
        <v>14</v>
      </c>
      <c r="V182" s="1" t="s">
        <v>53</v>
      </c>
      <c r="W182" s="1" t="s">
        <v>13</v>
      </c>
      <c r="X182" s="1" t="s">
        <v>207</v>
      </c>
      <c r="Y182" s="1" t="s">
        <v>1007</v>
      </c>
      <c r="Z182" s="1" t="s">
        <v>80</v>
      </c>
      <c r="AA182" s="1" t="s">
        <v>1008</v>
      </c>
      <c r="AB182" s="1" t="s">
        <v>1008</v>
      </c>
      <c r="AC182" s="1" t="s">
        <v>41</v>
      </c>
      <c r="AD182" s="1" t="s">
        <v>53</v>
      </c>
      <c r="AE182" s="1" t="s">
        <v>8</v>
      </c>
      <c r="AF182" s="1" t="s">
        <v>40</v>
      </c>
      <c r="AG182" s="1" t="s">
        <v>1009</v>
      </c>
      <c r="AH182" s="1" t="s">
        <v>26</v>
      </c>
      <c r="AI182" s="1" t="s">
        <v>56</v>
      </c>
      <c r="AJ182" s="1" t="s">
        <v>55</v>
      </c>
      <c r="AK182" s="1"/>
      <c r="AL182" s="1"/>
      <c r="AM182" s="1"/>
      <c r="AN182" s="1"/>
      <c r="AO182" s="1" t="s">
        <v>54</v>
      </c>
      <c r="AP182" s="1" t="s">
        <v>53</v>
      </c>
      <c r="AQ182" s="1" t="s">
        <v>35</v>
      </c>
      <c r="AR182" s="1" t="s">
        <v>139</v>
      </c>
      <c r="AS182" s="1">
        <v>0.8</v>
      </c>
      <c r="AT182" s="1">
        <v>0.6</v>
      </c>
      <c r="AU182" s="1">
        <v>1</v>
      </c>
      <c r="AV182" s="1" t="s">
        <v>1</v>
      </c>
      <c r="AW182" s="1">
        <v>1.56</v>
      </c>
      <c r="AX182" s="1">
        <v>0.98</v>
      </c>
      <c r="AY182" s="1">
        <v>2.5</v>
      </c>
      <c r="AZ182" s="1">
        <v>6.3E-2</v>
      </c>
      <c r="BA182" s="1" t="s">
        <v>139</v>
      </c>
      <c r="BB182" s="1">
        <v>0.8</v>
      </c>
      <c r="BC182" s="1">
        <v>0.6</v>
      </c>
      <c r="BD182" s="1">
        <v>1</v>
      </c>
      <c r="BE182" s="1" t="s">
        <v>0</v>
      </c>
      <c r="BF182" s="1" t="s">
        <v>1010</v>
      </c>
    </row>
    <row r="183" spans="1:58" x14ac:dyDescent="0.25">
      <c r="A183" s="1" t="s">
        <v>1001</v>
      </c>
      <c r="B183" s="1" t="s">
        <v>1002</v>
      </c>
      <c r="C183" s="1" t="s">
        <v>1003</v>
      </c>
      <c r="D183" s="1">
        <v>2017</v>
      </c>
      <c r="E183" s="1" t="b">
        <v>0</v>
      </c>
      <c r="F183" s="1" t="s">
        <v>1380</v>
      </c>
      <c r="G183" s="1" t="s">
        <v>1380</v>
      </c>
      <c r="H183" s="1" t="s">
        <v>22</v>
      </c>
      <c r="I183" s="1" t="s">
        <v>21</v>
      </c>
      <c r="J183" s="1" t="s">
        <v>20</v>
      </c>
      <c r="K183" s="1">
        <v>610</v>
      </c>
      <c r="L183" s="1" t="s">
        <v>1004</v>
      </c>
      <c r="M183" s="1" t="s">
        <v>278</v>
      </c>
      <c r="N183" s="1" t="s">
        <v>1005</v>
      </c>
      <c r="O183" s="1" t="s">
        <v>1006</v>
      </c>
      <c r="P183" s="1" t="s">
        <v>258</v>
      </c>
      <c r="Q183" s="1" t="s">
        <v>1526</v>
      </c>
      <c r="R183" s="1" t="s">
        <v>35</v>
      </c>
      <c r="S183" s="1" t="s">
        <v>21</v>
      </c>
      <c r="T183" s="1">
        <v>2</v>
      </c>
      <c r="U183" s="1" t="s">
        <v>14</v>
      </c>
      <c r="V183" s="1" t="s">
        <v>53</v>
      </c>
      <c r="W183" s="1" t="s">
        <v>13</v>
      </c>
      <c r="X183" s="1" t="s">
        <v>207</v>
      </c>
      <c r="Y183" s="1" t="s">
        <v>1007</v>
      </c>
      <c r="Z183" s="1" t="s">
        <v>11</v>
      </c>
      <c r="AA183" s="1" t="s">
        <v>541</v>
      </c>
      <c r="AB183" s="1" t="s">
        <v>541</v>
      </c>
      <c r="AC183" s="1" t="s">
        <v>41</v>
      </c>
      <c r="AD183" s="1" t="s">
        <v>53</v>
      </c>
      <c r="AE183" s="1" t="s">
        <v>8</v>
      </c>
      <c r="AF183" s="1" t="s">
        <v>1011</v>
      </c>
      <c r="AG183" s="1" t="s">
        <v>1012</v>
      </c>
      <c r="AH183" s="1" t="s">
        <v>26</v>
      </c>
      <c r="AI183" s="1" t="s">
        <v>56</v>
      </c>
      <c r="AJ183" s="1" t="s">
        <v>55</v>
      </c>
      <c r="AK183" s="1"/>
      <c r="AL183" s="1"/>
      <c r="AM183" s="1"/>
      <c r="AN183" s="1"/>
      <c r="AO183" s="1" t="s">
        <v>54</v>
      </c>
      <c r="AP183" s="1" t="s">
        <v>53</v>
      </c>
      <c r="AQ183" s="1" t="s">
        <v>35</v>
      </c>
      <c r="AR183" s="1" t="s">
        <v>139</v>
      </c>
      <c r="AS183" s="1">
        <v>1.1000000000000001</v>
      </c>
      <c r="AT183" s="1">
        <v>1</v>
      </c>
      <c r="AU183" s="1">
        <v>1.3</v>
      </c>
      <c r="AV183" s="1" t="s">
        <v>1</v>
      </c>
      <c r="AW183" s="1">
        <v>1.99</v>
      </c>
      <c r="AX183" s="1">
        <v>1.32</v>
      </c>
      <c r="AY183" s="1">
        <v>3.01</v>
      </c>
      <c r="AZ183" s="1">
        <v>1E-3</v>
      </c>
      <c r="BA183" s="1" t="s">
        <v>139</v>
      </c>
      <c r="BB183" s="1">
        <v>1.1000000000000001</v>
      </c>
      <c r="BC183" s="1">
        <v>1</v>
      </c>
      <c r="BD183" s="1">
        <v>1.3</v>
      </c>
      <c r="BE183" s="1" t="s">
        <v>0</v>
      </c>
      <c r="BF183" s="1" t="s">
        <v>1010</v>
      </c>
    </row>
    <row r="184" spans="1:58" x14ac:dyDescent="0.25">
      <c r="A184" s="1" t="s">
        <v>1030</v>
      </c>
      <c r="B184" s="1" t="s">
        <v>1031</v>
      </c>
      <c r="C184" s="1" t="s">
        <v>1032</v>
      </c>
      <c r="D184" s="1">
        <v>2011</v>
      </c>
      <c r="E184" s="1" t="b">
        <v>1</v>
      </c>
      <c r="F184" s="1" t="s">
        <v>1380</v>
      </c>
      <c r="G184" s="1" t="s">
        <v>1380</v>
      </c>
      <c r="H184" s="1" t="s">
        <v>22</v>
      </c>
      <c r="I184" s="1" t="s">
        <v>21</v>
      </c>
      <c r="J184" s="1" t="s">
        <v>20</v>
      </c>
      <c r="K184" s="1" t="s">
        <v>1033</v>
      </c>
      <c r="L184" s="1" t="s">
        <v>1033</v>
      </c>
      <c r="M184" s="1" t="s">
        <v>18</v>
      </c>
      <c r="N184" s="1" t="s">
        <v>485</v>
      </c>
      <c r="O184" s="1" t="s">
        <v>42</v>
      </c>
      <c r="P184" s="1" t="s">
        <v>133</v>
      </c>
      <c r="Q184" s="1" t="s">
        <v>1526</v>
      </c>
      <c r="R184" s="1" t="s">
        <v>2</v>
      </c>
      <c r="S184" s="1" t="s">
        <v>21</v>
      </c>
      <c r="T184" s="1">
        <v>1</v>
      </c>
      <c r="U184" s="1" t="s">
        <v>112</v>
      </c>
      <c r="V184" s="1" t="s">
        <v>53</v>
      </c>
      <c r="W184" s="1" t="s">
        <v>13</v>
      </c>
      <c r="X184" s="1" t="s">
        <v>763</v>
      </c>
      <c r="Y184" s="1">
        <v>5.323E-2</v>
      </c>
      <c r="Z184" s="1" t="s">
        <v>80</v>
      </c>
      <c r="AA184" s="1" t="s">
        <v>1042</v>
      </c>
      <c r="AB184" s="1" t="s">
        <v>1042</v>
      </c>
      <c r="AC184" s="1" t="s">
        <v>9</v>
      </c>
      <c r="AD184" s="1" t="s">
        <v>9</v>
      </c>
      <c r="AE184" s="1" t="s">
        <v>987</v>
      </c>
      <c r="AF184" s="1" t="s">
        <v>1043</v>
      </c>
      <c r="AG184" s="1" t="s">
        <v>1044</v>
      </c>
      <c r="AH184" s="1" t="s">
        <v>26</v>
      </c>
      <c r="AI184" s="1" t="s">
        <v>36</v>
      </c>
      <c r="AJ184" s="1" t="s">
        <v>807</v>
      </c>
      <c r="AK184" s="1"/>
      <c r="AL184" s="1"/>
      <c r="AM184" s="1"/>
      <c r="AN184" s="1"/>
      <c r="AO184" s="1"/>
      <c r="AP184" s="1"/>
      <c r="AQ184" s="1" t="s">
        <v>2</v>
      </c>
      <c r="AR184" s="1" t="s">
        <v>1</v>
      </c>
      <c r="AS184" s="1">
        <v>0.85</v>
      </c>
      <c r="AT184" s="1">
        <v>0.36</v>
      </c>
      <c r="AU184" s="1">
        <v>2.02</v>
      </c>
      <c r="AV184" s="1" t="s">
        <v>1</v>
      </c>
      <c r="AW184" s="1">
        <v>0.85</v>
      </c>
      <c r="AX184" s="1">
        <v>0.36</v>
      </c>
      <c r="AY184" s="1">
        <v>2.02</v>
      </c>
      <c r="AZ184" s="1" t="s">
        <v>1041</v>
      </c>
      <c r="BA184" s="1" t="s">
        <v>0</v>
      </c>
      <c r="BB184" s="1"/>
      <c r="BC184" s="1"/>
      <c r="BD184" s="1"/>
      <c r="BE184" s="1" t="s">
        <v>0</v>
      </c>
      <c r="BF184" s="1" t="s">
        <v>0</v>
      </c>
    </row>
    <row r="185" spans="1:58" x14ac:dyDescent="0.25">
      <c r="A185" s="1" t="s">
        <v>1030</v>
      </c>
      <c r="B185" s="1" t="s">
        <v>1031</v>
      </c>
      <c r="C185" s="1" t="s">
        <v>1032</v>
      </c>
      <c r="D185" s="1">
        <v>2011</v>
      </c>
      <c r="E185" s="1" t="b">
        <v>1</v>
      </c>
      <c r="F185" s="1" t="s">
        <v>1380</v>
      </c>
      <c r="G185" s="1" t="s">
        <v>1380</v>
      </c>
      <c r="H185" s="1" t="s">
        <v>22</v>
      </c>
      <c r="I185" s="1" t="s">
        <v>21</v>
      </c>
      <c r="J185" s="1" t="s">
        <v>20</v>
      </c>
      <c r="K185" s="1" t="s">
        <v>1033</v>
      </c>
      <c r="L185" s="1" t="s">
        <v>1033</v>
      </c>
      <c r="M185" s="1" t="s">
        <v>18</v>
      </c>
      <c r="N185" s="1" t="s">
        <v>485</v>
      </c>
      <c r="O185" s="1" t="s">
        <v>42</v>
      </c>
      <c r="P185" s="1" t="s">
        <v>133</v>
      </c>
      <c r="Q185" s="1" t="s">
        <v>1526</v>
      </c>
      <c r="R185" s="1" t="s">
        <v>2</v>
      </c>
      <c r="S185" s="1" t="s">
        <v>21</v>
      </c>
      <c r="T185" s="1">
        <v>1</v>
      </c>
      <c r="U185" s="1" t="s">
        <v>112</v>
      </c>
      <c r="V185" s="1" t="s">
        <v>53</v>
      </c>
      <c r="W185" s="1" t="s">
        <v>13</v>
      </c>
      <c r="X185" s="1" t="s">
        <v>763</v>
      </c>
      <c r="Y185" s="1">
        <v>5.323E-2</v>
      </c>
      <c r="Z185" s="1" t="s">
        <v>11</v>
      </c>
      <c r="AA185" s="1" t="s">
        <v>1045</v>
      </c>
      <c r="AB185" s="1" t="s">
        <v>1045</v>
      </c>
      <c r="AC185" s="1" t="s">
        <v>9</v>
      </c>
      <c r="AD185" s="1" t="s">
        <v>9</v>
      </c>
      <c r="AE185" s="1" t="s">
        <v>987</v>
      </c>
      <c r="AF185" s="1" t="s">
        <v>1046</v>
      </c>
      <c r="AG185" s="1" t="s">
        <v>576</v>
      </c>
      <c r="AH185" s="1" t="s">
        <v>26</v>
      </c>
      <c r="AI185" s="1" t="s">
        <v>36</v>
      </c>
      <c r="AJ185" s="1" t="s">
        <v>807</v>
      </c>
      <c r="AK185" s="1"/>
      <c r="AL185" s="1"/>
      <c r="AM185" s="1"/>
      <c r="AN185" s="1"/>
      <c r="AO185" s="1"/>
      <c r="AP185" s="1"/>
      <c r="AQ185" s="1" t="s">
        <v>2</v>
      </c>
      <c r="AR185" s="1" t="s">
        <v>1</v>
      </c>
      <c r="AS185" s="1">
        <v>0.77</v>
      </c>
      <c r="AT185" s="1">
        <v>0.35</v>
      </c>
      <c r="AU185" s="1">
        <v>1.69</v>
      </c>
      <c r="AV185" s="1" t="s">
        <v>1</v>
      </c>
      <c r="AW185" s="1">
        <v>0.77</v>
      </c>
      <c r="AX185" s="1">
        <v>0.35</v>
      </c>
      <c r="AY185" s="1">
        <v>1.69</v>
      </c>
      <c r="AZ185" s="1" t="s">
        <v>1047</v>
      </c>
      <c r="BA185" s="1" t="s">
        <v>0</v>
      </c>
      <c r="BB185" s="1"/>
      <c r="BC185" s="1"/>
      <c r="BD185" s="1"/>
      <c r="BE185" s="1" t="s">
        <v>0</v>
      </c>
      <c r="BF185" s="1" t="s">
        <v>0</v>
      </c>
    </row>
    <row r="186" spans="1:58" x14ac:dyDescent="0.25">
      <c r="A186" s="1" t="s">
        <v>1030</v>
      </c>
      <c r="B186" s="1" t="s">
        <v>1031</v>
      </c>
      <c r="C186" s="1" t="s">
        <v>1032</v>
      </c>
      <c r="D186" s="1">
        <v>2011</v>
      </c>
      <c r="E186" s="1" t="b">
        <v>1</v>
      </c>
      <c r="F186" s="1" t="s">
        <v>1380</v>
      </c>
      <c r="G186" s="1" t="s">
        <v>1380</v>
      </c>
      <c r="H186" s="1" t="s">
        <v>22</v>
      </c>
      <c r="I186" s="1" t="s">
        <v>21</v>
      </c>
      <c r="J186" s="1" t="s">
        <v>20</v>
      </c>
      <c r="K186" s="1" t="s">
        <v>1033</v>
      </c>
      <c r="L186" s="1" t="s">
        <v>1033</v>
      </c>
      <c r="M186" s="1" t="s">
        <v>18</v>
      </c>
      <c r="N186" s="1" t="s">
        <v>485</v>
      </c>
      <c r="O186" s="1" t="s">
        <v>42</v>
      </c>
      <c r="P186" s="1" t="s">
        <v>133</v>
      </c>
      <c r="Q186" s="1" t="s">
        <v>1526</v>
      </c>
      <c r="R186" s="1" t="s">
        <v>2</v>
      </c>
      <c r="S186" s="1" t="s">
        <v>21</v>
      </c>
      <c r="T186" s="1">
        <v>1</v>
      </c>
      <c r="U186" s="1" t="s">
        <v>112</v>
      </c>
      <c r="V186" s="1" t="s">
        <v>53</v>
      </c>
      <c r="W186" s="1" t="s">
        <v>13</v>
      </c>
      <c r="X186" s="1" t="s">
        <v>763</v>
      </c>
      <c r="Y186" s="1">
        <v>5.323E-2</v>
      </c>
      <c r="Z186" s="1" t="s">
        <v>11</v>
      </c>
      <c r="AA186" s="1" t="s">
        <v>1034</v>
      </c>
      <c r="AB186" s="1" t="s">
        <v>1035</v>
      </c>
      <c r="AC186" s="1" t="s">
        <v>112</v>
      </c>
      <c r="AD186" s="1" t="s">
        <v>53</v>
      </c>
      <c r="AE186" s="1" t="s">
        <v>160</v>
      </c>
      <c r="AF186" s="1" t="s">
        <v>1036</v>
      </c>
      <c r="AG186" s="1" t="s">
        <v>1029</v>
      </c>
      <c r="AH186" s="1" t="s">
        <v>26</v>
      </c>
      <c r="AI186" s="1" t="s">
        <v>36</v>
      </c>
      <c r="AJ186" s="1" t="s">
        <v>807</v>
      </c>
      <c r="AK186" s="1"/>
      <c r="AL186" s="1"/>
      <c r="AM186" s="1"/>
      <c r="AN186" s="1"/>
      <c r="AO186" s="1"/>
      <c r="AP186" s="1"/>
      <c r="AQ186" s="1" t="s">
        <v>2</v>
      </c>
      <c r="AR186" s="1" t="s">
        <v>1</v>
      </c>
      <c r="AS186" s="1">
        <v>1.1299999999999999</v>
      </c>
      <c r="AT186" s="1">
        <v>0.26</v>
      </c>
      <c r="AU186" s="1">
        <v>4.95</v>
      </c>
      <c r="AV186" s="1" t="s">
        <v>1</v>
      </c>
      <c r="AW186" s="1">
        <v>1.1299999999999999</v>
      </c>
      <c r="AX186" s="1">
        <v>0.26</v>
      </c>
      <c r="AY186" s="1">
        <v>4.95</v>
      </c>
      <c r="AZ186" s="1" t="s">
        <v>1037</v>
      </c>
      <c r="BA186" s="1" t="s">
        <v>0</v>
      </c>
      <c r="BB186" s="1"/>
      <c r="BC186" s="1"/>
      <c r="BD186" s="1"/>
      <c r="BE186" s="1" t="s">
        <v>0</v>
      </c>
      <c r="BF186" s="1" t="s">
        <v>0</v>
      </c>
    </row>
    <row r="187" spans="1:58" x14ac:dyDescent="0.25">
      <c r="A187" s="1" t="s">
        <v>1030</v>
      </c>
      <c r="B187" s="1" t="s">
        <v>1031</v>
      </c>
      <c r="C187" s="1" t="s">
        <v>1032</v>
      </c>
      <c r="D187" s="1">
        <v>2011</v>
      </c>
      <c r="E187" s="1" t="b">
        <v>1</v>
      </c>
      <c r="F187" s="1" t="s">
        <v>1380</v>
      </c>
      <c r="G187" s="1" t="s">
        <v>1380</v>
      </c>
      <c r="H187" s="1" t="s">
        <v>22</v>
      </c>
      <c r="I187" s="1" t="s">
        <v>21</v>
      </c>
      <c r="J187" s="1" t="s">
        <v>20</v>
      </c>
      <c r="K187" s="1" t="s">
        <v>1033</v>
      </c>
      <c r="L187" s="1" t="s">
        <v>1033</v>
      </c>
      <c r="M187" s="1" t="s">
        <v>18</v>
      </c>
      <c r="N187" s="1" t="s">
        <v>485</v>
      </c>
      <c r="O187" s="1" t="s">
        <v>42</v>
      </c>
      <c r="P187" s="1" t="s">
        <v>133</v>
      </c>
      <c r="Q187" s="1" t="s">
        <v>1526</v>
      </c>
      <c r="R187" s="1" t="s">
        <v>2</v>
      </c>
      <c r="S187" s="1" t="s">
        <v>21</v>
      </c>
      <c r="T187" s="1">
        <v>1</v>
      </c>
      <c r="U187" s="1" t="s">
        <v>112</v>
      </c>
      <c r="V187" s="1" t="s">
        <v>53</v>
      </c>
      <c r="W187" s="1" t="s">
        <v>13</v>
      </c>
      <c r="X187" s="1" t="s">
        <v>763</v>
      </c>
      <c r="Y187" s="1">
        <v>5.323E-2</v>
      </c>
      <c r="Z187" s="1" t="s">
        <v>11</v>
      </c>
      <c r="AA187" s="1" t="s">
        <v>1038</v>
      </c>
      <c r="AB187" s="1" t="s">
        <v>1035</v>
      </c>
      <c r="AC187" s="1" t="s">
        <v>112</v>
      </c>
      <c r="AD187" s="1" t="s">
        <v>53</v>
      </c>
      <c r="AE187" s="1" t="s">
        <v>63</v>
      </c>
      <c r="AF187" s="1" t="s">
        <v>1039</v>
      </c>
      <c r="AG187" s="1" t="s">
        <v>1040</v>
      </c>
      <c r="AH187" s="1" t="s">
        <v>26</v>
      </c>
      <c r="AI187" s="1" t="s">
        <v>36</v>
      </c>
      <c r="AJ187" s="1" t="s">
        <v>807</v>
      </c>
      <c r="AK187" s="1"/>
      <c r="AL187" s="1"/>
      <c r="AM187" s="1"/>
      <c r="AN187" s="1"/>
      <c r="AO187" s="1"/>
      <c r="AP187" s="1"/>
      <c r="AQ187" s="1" t="s">
        <v>2</v>
      </c>
      <c r="AR187" s="1" t="s">
        <v>1</v>
      </c>
      <c r="AS187" s="1">
        <v>1.1000000000000001</v>
      </c>
      <c r="AT187" s="1">
        <v>0.48</v>
      </c>
      <c r="AU187" s="1">
        <v>2.4900000000000002</v>
      </c>
      <c r="AV187" s="1" t="s">
        <v>1</v>
      </c>
      <c r="AW187" s="1">
        <v>1.1000000000000001</v>
      </c>
      <c r="AX187" s="1">
        <v>0.48</v>
      </c>
      <c r="AY187" s="1">
        <v>2.4900000000000002</v>
      </c>
      <c r="AZ187" s="1" t="s">
        <v>1041</v>
      </c>
      <c r="BA187" s="1" t="s">
        <v>0</v>
      </c>
      <c r="BB187" s="1"/>
      <c r="BC187" s="1"/>
      <c r="BD187" s="1"/>
      <c r="BE187" s="1" t="s">
        <v>0</v>
      </c>
      <c r="BF187" s="1" t="s">
        <v>0</v>
      </c>
    </row>
    <row r="188" spans="1:58" x14ac:dyDescent="0.25">
      <c r="A188" s="1" t="s">
        <v>1048</v>
      </c>
      <c r="B188" s="1" t="s">
        <v>1049</v>
      </c>
      <c r="C188" s="1" t="s">
        <v>1050</v>
      </c>
      <c r="D188" s="1">
        <v>2017</v>
      </c>
      <c r="E188" s="1" t="b">
        <v>0</v>
      </c>
      <c r="F188" s="1" t="s">
        <v>1380</v>
      </c>
      <c r="G188" s="1" t="s">
        <v>1380</v>
      </c>
      <c r="H188" s="1" t="s">
        <v>22</v>
      </c>
      <c r="I188" s="1" t="s">
        <v>21</v>
      </c>
      <c r="J188" s="1" t="s">
        <v>20</v>
      </c>
      <c r="K188" s="1">
        <v>4245</v>
      </c>
      <c r="L188" s="1">
        <v>4245</v>
      </c>
      <c r="M188" s="1" t="s">
        <v>18</v>
      </c>
      <c r="N188" s="1" t="s">
        <v>134</v>
      </c>
      <c r="O188" s="1" t="s">
        <v>42</v>
      </c>
      <c r="P188" s="1" t="s">
        <v>133</v>
      </c>
      <c r="Q188" s="1" t="s">
        <v>1526</v>
      </c>
      <c r="R188" s="1" t="s">
        <v>2</v>
      </c>
      <c r="S188" s="1" t="s">
        <v>21</v>
      </c>
      <c r="T188" s="1">
        <v>1</v>
      </c>
      <c r="U188" s="1" t="s">
        <v>132</v>
      </c>
      <c r="V188" s="1" t="s">
        <v>53</v>
      </c>
      <c r="W188" s="1" t="s">
        <v>13</v>
      </c>
      <c r="X188" s="16">
        <v>225</v>
      </c>
      <c r="Y188" s="1">
        <v>5.2999999999999999E-2</v>
      </c>
      <c r="Z188" s="1" t="s">
        <v>80</v>
      </c>
      <c r="AA188" s="1" t="s">
        <v>1051</v>
      </c>
      <c r="AB188" s="1" t="s">
        <v>80</v>
      </c>
      <c r="AC188" s="1" t="s">
        <v>9</v>
      </c>
      <c r="AD188" s="1" t="s">
        <v>9</v>
      </c>
      <c r="AE188" s="1" t="s">
        <v>8</v>
      </c>
      <c r="AF188" s="1" t="s">
        <v>0</v>
      </c>
      <c r="AG188" s="1" t="s">
        <v>0</v>
      </c>
      <c r="AH188" s="1" t="s">
        <v>26</v>
      </c>
      <c r="AI188" s="1" t="s">
        <v>36</v>
      </c>
      <c r="AJ188" s="1" t="s">
        <v>807</v>
      </c>
      <c r="AK188" s="1"/>
      <c r="AL188" s="1"/>
      <c r="AM188" s="1"/>
      <c r="AN188" s="1"/>
      <c r="AO188" s="1"/>
      <c r="AP188" s="1"/>
      <c r="AQ188" s="1" t="s">
        <v>2</v>
      </c>
      <c r="AR188" s="1" t="s">
        <v>1</v>
      </c>
      <c r="AS188" s="1">
        <v>1.085</v>
      </c>
      <c r="AT188" s="1">
        <v>0.73199999999999998</v>
      </c>
      <c r="AU188" s="1">
        <v>1.609</v>
      </c>
      <c r="AV188" s="1" t="s">
        <v>1</v>
      </c>
      <c r="AW188" s="1">
        <v>1.085</v>
      </c>
      <c r="AX188" s="1">
        <v>0.73199999999999998</v>
      </c>
      <c r="AY188" s="1">
        <v>1.609</v>
      </c>
      <c r="AZ188" s="1" t="s">
        <v>1052</v>
      </c>
      <c r="BA188" s="1" t="s">
        <v>0</v>
      </c>
      <c r="BB188" s="1"/>
      <c r="BC188" s="1"/>
      <c r="BD188" s="1"/>
      <c r="BE188" s="1" t="s">
        <v>0</v>
      </c>
      <c r="BF188" s="1" t="s">
        <v>0</v>
      </c>
    </row>
    <row r="189" spans="1:58" x14ac:dyDescent="0.25">
      <c r="A189" s="1" t="s">
        <v>1048</v>
      </c>
      <c r="B189" s="1" t="s">
        <v>1049</v>
      </c>
      <c r="C189" s="1" t="s">
        <v>1050</v>
      </c>
      <c r="D189" s="1">
        <v>2017</v>
      </c>
      <c r="E189" s="1" t="b">
        <v>0</v>
      </c>
      <c r="F189" s="1" t="s">
        <v>1380</v>
      </c>
      <c r="G189" s="1" t="s">
        <v>1380</v>
      </c>
      <c r="H189" s="1" t="s">
        <v>22</v>
      </c>
      <c r="I189" s="1" t="s">
        <v>21</v>
      </c>
      <c r="J189" s="1" t="s">
        <v>20</v>
      </c>
      <c r="K189" s="1">
        <v>4245</v>
      </c>
      <c r="L189" s="1">
        <v>4245</v>
      </c>
      <c r="M189" s="1" t="s">
        <v>18</v>
      </c>
      <c r="N189" s="1" t="s">
        <v>134</v>
      </c>
      <c r="O189" s="1" t="s">
        <v>42</v>
      </c>
      <c r="P189" s="1" t="s">
        <v>133</v>
      </c>
      <c r="Q189" s="1" t="s">
        <v>1526</v>
      </c>
      <c r="R189" s="1" t="s">
        <v>2</v>
      </c>
      <c r="S189" s="1" t="s">
        <v>21</v>
      </c>
      <c r="T189" s="1">
        <v>1</v>
      </c>
      <c r="U189" s="1" t="s">
        <v>132</v>
      </c>
      <c r="V189" s="1" t="s">
        <v>53</v>
      </c>
      <c r="W189" s="1" t="s">
        <v>13</v>
      </c>
      <c r="X189" s="16">
        <v>225</v>
      </c>
      <c r="Y189" s="1">
        <v>5.2999999999999999E-2</v>
      </c>
      <c r="Z189" s="1" t="s">
        <v>11</v>
      </c>
      <c r="AA189" s="1" t="s">
        <v>1053</v>
      </c>
      <c r="AB189" s="1" t="s">
        <v>11</v>
      </c>
      <c r="AC189" s="1" t="s">
        <v>9</v>
      </c>
      <c r="AD189" s="1" t="s">
        <v>9</v>
      </c>
      <c r="AE189" s="1" t="s">
        <v>8</v>
      </c>
      <c r="AF189" s="1" t="s">
        <v>0</v>
      </c>
      <c r="AG189" s="1" t="s">
        <v>0</v>
      </c>
      <c r="AH189" s="1" t="s">
        <v>26</v>
      </c>
      <c r="AI189" s="1" t="s">
        <v>36</v>
      </c>
      <c r="AJ189" s="1" t="s">
        <v>807</v>
      </c>
      <c r="AK189" s="1"/>
      <c r="AL189" s="1"/>
      <c r="AM189" s="1"/>
      <c r="AN189" s="1"/>
      <c r="AO189" s="1"/>
      <c r="AP189" s="1"/>
      <c r="AQ189" s="1" t="s">
        <v>2</v>
      </c>
      <c r="AR189" s="1" t="s">
        <v>1</v>
      </c>
      <c r="AS189" s="1">
        <v>1.5409999999999999</v>
      </c>
      <c r="AT189" s="1">
        <v>1.0489999999999999</v>
      </c>
      <c r="AU189" s="1">
        <v>2.2599999999999998</v>
      </c>
      <c r="AV189" s="1" t="s">
        <v>1</v>
      </c>
      <c r="AW189" s="1">
        <v>1.5409999999999999</v>
      </c>
      <c r="AX189" s="1">
        <v>1.0489999999999999</v>
      </c>
      <c r="AY189" s="1">
        <v>2.2599999999999998</v>
      </c>
      <c r="AZ189" s="1">
        <v>2.8000000000000001E-2</v>
      </c>
      <c r="BA189" s="1" t="s">
        <v>0</v>
      </c>
      <c r="BB189" s="1"/>
      <c r="BC189" s="1"/>
      <c r="BD189" s="1"/>
      <c r="BE189" s="1" t="s">
        <v>0</v>
      </c>
      <c r="BF189" s="1" t="s">
        <v>0</v>
      </c>
    </row>
    <row r="190" spans="1:58" x14ac:dyDescent="0.25">
      <c r="A190" s="1" t="s">
        <v>1054</v>
      </c>
      <c r="B190" s="1" t="s">
        <v>1055</v>
      </c>
      <c r="C190" s="1" t="s">
        <v>1056</v>
      </c>
      <c r="D190" s="1">
        <v>2013</v>
      </c>
      <c r="E190" s="1" t="b">
        <v>1</v>
      </c>
      <c r="F190" s="1" t="s">
        <v>1380</v>
      </c>
      <c r="G190" s="1" t="s">
        <v>1380</v>
      </c>
      <c r="H190" s="1" t="s">
        <v>279</v>
      </c>
      <c r="I190" s="1" t="s">
        <v>21</v>
      </c>
      <c r="J190" s="1" t="s">
        <v>20</v>
      </c>
      <c r="K190" s="1" t="s">
        <v>1057</v>
      </c>
      <c r="L190" s="1" t="s">
        <v>1057</v>
      </c>
      <c r="M190" s="1" t="s">
        <v>1525</v>
      </c>
      <c r="N190" s="1" t="s">
        <v>592</v>
      </c>
      <c r="O190" s="1" t="s">
        <v>0</v>
      </c>
      <c r="P190" s="1" t="s">
        <v>68</v>
      </c>
      <c r="Q190" s="1" t="s">
        <v>1526</v>
      </c>
      <c r="R190" s="1" t="s">
        <v>2</v>
      </c>
      <c r="S190" s="1" t="s">
        <v>21</v>
      </c>
      <c r="T190" s="1">
        <v>1</v>
      </c>
      <c r="U190" s="1" t="s">
        <v>145</v>
      </c>
      <c r="V190" s="1" t="s">
        <v>53</v>
      </c>
      <c r="W190" s="1" t="s">
        <v>13</v>
      </c>
      <c r="X190" s="1" t="s">
        <v>0</v>
      </c>
      <c r="Y190" s="1" t="s">
        <v>0</v>
      </c>
      <c r="Z190" s="1" t="s">
        <v>39</v>
      </c>
      <c r="AA190" s="1" t="s">
        <v>1059</v>
      </c>
      <c r="AB190" s="1" t="s">
        <v>1060</v>
      </c>
      <c r="AC190" s="1" t="s">
        <v>0</v>
      </c>
      <c r="AD190" s="1" t="s">
        <v>9</v>
      </c>
      <c r="AE190" s="1" t="s">
        <v>74</v>
      </c>
      <c r="AF190" s="1" t="s">
        <v>0</v>
      </c>
      <c r="AG190" s="1" t="s">
        <v>0</v>
      </c>
      <c r="AH190" s="1" t="s">
        <v>26</v>
      </c>
      <c r="AI190" s="1" t="s">
        <v>36</v>
      </c>
      <c r="AJ190" s="1" t="s">
        <v>807</v>
      </c>
      <c r="AK190" s="1"/>
      <c r="AL190" s="1"/>
      <c r="AM190" s="1"/>
      <c r="AN190" s="1"/>
      <c r="AO190" s="1"/>
      <c r="AP190" s="1"/>
      <c r="AQ190" s="1" t="s">
        <v>2</v>
      </c>
      <c r="AR190" s="1" t="s">
        <v>1</v>
      </c>
      <c r="AS190" s="1">
        <v>1.4</v>
      </c>
      <c r="AT190" s="1">
        <v>1</v>
      </c>
      <c r="AU190" s="1">
        <v>1.8</v>
      </c>
      <c r="AV190" s="1" t="s">
        <v>1</v>
      </c>
      <c r="AW190" s="1">
        <v>1.4</v>
      </c>
      <c r="AX190" s="1">
        <v>1</v>
      </c>
      <c r="AY190" s="1">
        <v>1.8</v>
      </c>
      <c r="AZ190" s="1" t="s">
        <v>0</v>
      </c>
      <c r="BA190" s="1" t="s">
        <v>0</v>
      </c>
      <c r="BB190" s="1"/>
      <c r="BC190" s="1"/>
      <c r="BD190" s="1"/>
      <c r="BE190" s="1" t="s">
        <v>0</v>
      </c>
      <c r="BF190" s="1" t="s">
        <v>0</v>
      </c>
    </row>
    <row r="191" spans="1:58" x14ac:dyDescent="0.25">
      <c r="A191" s="1" t="s">
        <v>1054</v>
      </c>
      <c r="B191" s="1" t="s">
        <v>1055</v>
      </c>
      <c r="C191" s="1" t="s">
        <v>1056</v>
      </c>
      <c r="D191" s="1">
        <v>2013</v>
      </c>
      <c r="E191" s="1" t="b">
        <v>1</v>
      </c>
      <c r="F191" s="1" t="s">
        <v>1380</v>
      </c>
      <c r="G191" s="1" t="s">
        <v>1380</v>
      </c>
      <c r="H191" s="1" t="s">
        <v>279</v>
      </c>
      <c r="I191" s="1" t="s">
        <v>21</v>
      </c>
      <c r="J191" s="1" t="s">
        <v>20</v>
      </c>
      <c r="K191" s="1" t="s">
        <v>1057</v>
      </c>
      <c r="L191" s="1" t="s">
        <v>1057</v>
      </c>
      <c r="M191" s="1" t="s">
        <v>1525</v>
      </c>
      <c r="N191" s="1" t="s">
        <v>592</v>
      </c>
      <c r="O191" s="1" t="s">
        <v>0</v>
      </c>
      <c r="P191" s="1" t="s">
        <v>68</v>
      </c>
      <c r="Q191" s="1" t="s">
        <v>1526</v>
      </c>
      <c r="R191" s="1" t="s">
        <v>2</v>
      </c>
      <c r="S191" s="1" t="s">
        <v>21</v>
      </c>
      <c r="T191" s="1">
        <v>1</v>
      </c>
      <c r="U191" s="1" t="s">
        <v>145</v>
      </c>
      <c r="V191" s="1" t="s">
        <v>53</v>
      </c>
      <c r="W191" s="1" t="s">
        <v>13</v>
      </c>
      <c r="X191" s="1" t="s">
        <v>0</v>
      </c>
      <c r="Y191" s="1" t="s">
        <v>0</v>
      </c>
      <c r="Z191" s="1" t="s">
        <v>39</v>
      </c>
      <c r="AA191" s="1" t="s">
        <v>1061</v>
      </c>
      <c r="AB191" s="1" t="s">
        <v>1060</v>
      </c>
      <c r="AC191" s="1" t="s">
        <v>0</v>
      </c>
      <c r="AD191" s="1" t="s">
        <v>9</v>
      </c>
      <c r="AE191" s="1" t="s">
        <v>160</v>
      </c>
      <c r="AF191" s="1" t="s">
        <v>0</v>
      </c>
      <c r="AG191" s="1" t="s">
        <v>0</v>
      </c>
      <c r="AH191" s="1" t="s">
        <v>26</v>
      </c>
      <c r="AI191" s="1" t="s">
        <v>36</v>
      </c>
      <c r="AJ191" s="1" t="s">
        <v>807</v>
      </c>
      <c r="AK191" s="1"/>
      <c r="AL191" s="1"/>
      <c r="AM191" s="1"/>
      <c r="AN191" s="1"/>
      <c r="AO191" s="1"/>
      <c r="AP191" s="1"/>
      <c r="AQ191" s="1" t="s">
        <v>2</v>
      </c>
      <c r="AR191" s="1" t="s">
        <v>1</v>
      </c>
      <c r="AS191" s="1">
        <v>1.8</v>
      </c>
      <c r="AT191" s="1">
        <v>1.3</v>
      </c>
      <c r="AU191" s="1">
        <v>2.6</v>
      </c>
      <c r="AV191" s="1" t="s">
        <v>1</v>
      </c>
      <c r="AW191" s="1">
        <v>1.8</v>
      </c>
      <c r="AX191" s="1">
        <v>1.3</v>
      </c>
      <c r="AY191" s="1">
        <v>2.6</v>
      </c>
      <c r="AZ191" s="1" t="s">
        <v>0</v>
      </c>
      <c r="BA191" s="1" t="s">
        <v>0</v>
      </c>
      <c r="BB191" s="1"/>
      <c r="BC191" s="1"/>
      <c r="BD191" s="1"/>
      <c r="BE191" s="1" t="s">
        <v>0</v>
      </c>
      <c r="BF191" s="1" t="s">
        <v>0</v>
      </c>
    </row>
    <row r="192" spans="1:58" x14ac:dyDescent="0.25">
      <c r="A192" s="1" t="s">
        <v>1054</v>
      </c>
      <c r="B192" s="1" t="s">
        <v>1055</v>
      </c>
      <c r="C192" s="1" t="s">
        <v>1056</v>
      </c>
      <c r="D192" s="1">
        <v>2013</v>
      </c>
      <c r="E192" s="1" t="b">
        <v>1</v>
      </c>
      <c r="F192" s="1" t="s">
        <v>1380</v>
      </c>
      <c r="G192" s="1" t="s">
        <v>1380</v>
      </c>
      <c r="H192" s="1" t="s">
        <v>279</v>
      </c>
      <c r="I192" s="1" t="s">
        <v>21</v>
      </c>
      <c r="J192" s="1" t="s">
        <v>20</v>
      </c>
      <c r="K192" s="1" t="s">
        <v>1057</v>
      </c>
      <c r="L192" s="1" t="s">
        <v>1057</v>
      </c>
      <c r="M192" s="1" t="s">
        <v>1525</v>
      </c>
      <c r="N192" s="1" t="s">
        <v>592</v>
      </c>
      <c r="O192" s="1" t="s">
        <v>0</v>
      </c>
      <c r="P192" s="1" t="s">
        <v>68</v>
      </c>
      <c r="Q192" s="1" t="s">
        <v>1526</v>
      </c>
      <c r="R192" s="1" t="s">
        <v>2</v>
      </c>
      <c r="S192" s="1" t="s">
        <v>21</v>
      </c>
      <c r="T192" s="1">
        <v>1</v>
      </c>
      <c r="U192" s="1" t="s">
        <v>145</v>
      </c>
      <c r="V192" s="1" t="s">
        <v>53</v>
      </c>
      <c r="W192" s="1" t="s">
        <v>13</v>
      </c>
      <c r="X192" s="1" t="s">
        <v>0</v>
      </c>
      <c r="Y192" s="1" t="s">
        <v>0</v>
      </c>
      <c r="Z192" s="1" t="s">
        <v>39</v>
      </c>
      <c r="AA192" s="1" t="s">
        <v>1060</v>
      </c>
      <c r="AB192" s="1" t="s">
        <v>1060</v>
      </c>
      <c r="AC192" s="1" t="s">
        <v>0</v>
      </c>
      <c r="AD192" s="1" t="s">
        <v>9</v>
      </c>
      <c r="AE192" s="1" t="s">
        <v>8</v>
      </c>
      <c r="AF192" s="1" t="s">
        <v>0</v>
      </c>
      <c r="AG192" s="1" t="s">
        <v>0</v>
      </c>
      <c r="AH192" s="1" t="s">
        <v>26</v>
      </c>
      <c r="AI192" s="1" t="s">
        <v>36</v>
      </c>
      <c r="AJ192" s="1" t="s">
        <v>807</v>
      </c>
      <c r="AK192" s="1"/>
      <c r="AL192" s="1"/>
      <c r="AM192" s="1"/>
      <c r="AN192" s="1"/>
      <c r="AO192" s="1"/>
      <c r="AP192" s="1"/>
      <c r="AQ192" s="1" t="s">
        <v>2</v>
      </c>
      <c r="AR192" s="1" t="s">
        <v>1</v>
      </c>
      <c r="AS192" s="1">
        <v>1.8</v>
      </c>
      <c r="AT192" s="1">
        <v>1.5</v>
      </c>
      <c r="AU192" s="1">
        <v>2.1</v>
      </c>
      <c r="AV192" s="1" t="s">
        <v>1</v>
      </c>
      <c r="AW192" s="1">
        <v>1.8</v>
      </c>
      <c r="AX192" s="1">
        <v>1.5</v>
      </c>
      <c r="AY192" s="1">
        <v>2.1</v>
      </c>
      <c r="AZ192" s="1" t="s">
        <v>0</v>
      </c>
      <c r="BA192" s="1" t="s">
        <v>0</v>
      </c>
      <c r="BB192" s="1"/>
      <c r="BC192" s="1"/>
      <c r="BD192" s="1"/>
      <c r="BE192" s="1" t="s">
        <v>0</v>
      </c>
      <c r="BF192" s="1" t="s">
        <v>0</v>
      </c>
    </row>
    <row r="193" spans="1:58" x14ac:dyDescent="0.25">
      <c r="A193" s="1" t="s">
        <v>1062</v>
      </c>
      <c r="B193" s="1" t="s">
        <v>1063</v>
      </c>
      <c r="C193" s="1" t="s">
        <v>1064</v>
      </c>
      <c r="D193" s="1">
        <v>2014</v>
      </c>
      <c r="E193" s="1" t="b">
        <v>1</v>
      </c>
      <c r="F193" s="1" t="s">
        <v>1380</v>
      </c>
      <c r="G193" s="1" t="s">
        <v>1380</v>
      </c>
      <c r="H193" s="1" t="s">
        <v>22</v>
      </c>
      <c r="I193" s="1" t="s">
        <v>21</v>
      </c>
      <c r="J193" s="1" t="s">
        <v>20</v>
      </c>
      <c r="K193" s="1" t="s">
        <v>1065</v>
      </c>
      <c r="L193" s="1" t="s">
        <v>1065</v>
      </c>
      <c r="M193" s="1" t="s">
        <v>278</v>
      </c>
      <c r="N193" s="1" t="s">
        <v>1066</v>
      </c>
      <c r="O193" s="1" t="s">
        <v>42</v>
      </c>
      <c r="P193" s="1" t="s">
        <v>15</v>
      </c>
      <c r="Q193" s="1" t="s">
        <v>1526</v>
      </c>
      <c r="R193" s="1" t="s">
        <v>35</v>
      </c>
      <c r="S193" s="1" t="s">
        <v>21</v>
      </c>
      <c r="T193" s="1">
        <v>2</v>
      </c>
      <c r="U193" s="1" t="s">
        <v>145</v>
      </c>
      <c r="V193" s="1" t="s">
        <v>53</v>
      </c>
      <c r="W193" s="1" t="s">
        <v>13</v>
      </c>
      <c r="X193" s="1" t="s">
        <v>1067</v>
      </c>
      <c r="Y193" s="1" t="s">
        <v>1068</v>
      </c>
      <c r="Z193" s="1" t="s">
        <v>513</v>
      </c>
      <c r="AA193" s="1" t="s">
        <v>1076</v>
      </c>
      <c r="AB193" s="1" t="s">
        <v>1076</v>
      </c>
      <c r="AC193" s="1" t="s">
        <v>112</v>
      </c>
      <c r="AD193" s="1" t="s">
        <v>53</v>
      </c>
      <c r="AE193" s="1" t="s">
        <v>8</v>
      </c>
      <c r="AF193" s="1" t="s">
        <v>1077</v>
      </c>
      <c r="AG193" s="1" t="s">
        <v>1078</v>
      </c>
      <c r="AH193" s="1" t="s">
        <v>26</v>
      </c>
      <c r="AI193" s="1" t="s">
        <v>36</v>
      </c>
      <c r="AJ193" s="1" t="s">
        <v>1072</v>
      </c>
      <c r="AK193" s="1"/>
      <c r="AL193" s="1"/>
      <c r="AM193" s="1"/>
      <c r="AN193" s="1"/>
      <c r="AO193" s="1"/>
      <c r="AP193" s="1"/>
      <c r="AQ193" s="1" t="s">
        <v>35</v>
      </c>
      <c r="AR193" s="1" t="s">
        <v>139</v>
      </c>
      <c r="AS193" s="1">
        <v>1.41</v>
      </c>
      <c r="AT193" s="1">
        <v>1.08</v>
      </c>
      <c r="AU193" s="1">
        <v>1.85</v>
      </c>
      <c r="AV193" s="1" t="s">
        <v>1</v>
      </c>
      <c r="AW193" s="1">
        <v>1.51</v>
      </c>
      <c r="AX193" s="1">
        <v>1.1000000000000001</v>
      </c>
      <c r="AY193" s="1">
        <v>2.08</v>
      </c>
      <c r="AZ193" s="1">
        <v>1.0999999999999999E-2</v>
      </c>
      <c r="BA193" s="1" t="s">
        <v>139</v>
      </c>
      <c r="BB193" s="1">
        <v>1.41</v>
      </c>
      <c r="BC193" s="1">
        <v>1.08</v>
      </c>
      <c r="BD193" s="1">
        <v>1.85</v>
      </c>
      <c r="BE193" s="1" t="s">
        <v>1027</v>
      </c>
      <c r="BF193" s="1" t="s">
        <v>1073</v>
      </c>
    </row>
    <row r="194" spans="1:58" x14ac:dyDescent="0.25">
      <c r="A194" s="1" t="s">
        <v>1062</v>
      </c>
      <c r="B194" s="1" t="s">
        <v>1063</v>
      </c>
      <c r="C194" s="1" t="s">
        <v>1064</v>
      </c>
      <c r="D194" s="1">
        <v>2014</v>
      </c>
      <c r="E194" s="1" t="b">
        <v>1</v>
      </c>
      <c r="F194" s="1" t="s">
        <v>1380</v>
      </c>
      <c r="G194" s="1" t="s">
        <v>1380</v>
      </c>
      <c r="H194" s="1" t="s">
        <v>22</v>
      </c>
      <c r="I194" s="1" t="s">
        <v>21</v>
      </c>
      <c r="J194" s="1" t="s">
        <v>20</v>
      </c>
      <c r="K194" s="1" t="s">
        <v>1065</v>
      </c>
      <c r="L194" s="1" t="s">
        <v>1065</v>
      </c>
      <c r="M194" s="1" t="s">
        <v>278</v>
      </c>
      <c r="N194" s="1" t="s">
        <v>1066</v>
      </c>
      <c r="O194" s="1" t="s">
        <v>42</v>
      </c>
      <c r="P194" s="1" t="s">
        <v>15</v>
      </c>
      <c r="Q194" s="1" t="s">
        <v>1526</v>
      </c>
      <c r="R194" s="1" t="s">
        <v>35</v>
      </c>
      <c r="S194" s="1" t="s">
        <v>21</v>
      </c>
      <c r="T194" s="1">
        <v>2</v>
      </c>
      <c r="U194" s="1" t="s">
        <v>145</v>
      </c>
      <c r="V194" s="1" t="s">
        <v>53</v>
      </c>
      <c r="W194" s="1" t="s">
        <v>13</v>
      </c>
      <c r="X194" s="1" t="s">
        <v>1067</v>
      </c>
      <c r="Y194" s="1" t="s">
        <v>1068</v>
      </c>
      <c r="Z194" s="1" t="s">
        <v>80</v>
      </c>
      <c r="AA194" s="1" t="s">
        <v>1074</v>
      </c>
      <c r="AB194" s="1" t="s">
        <v>80</v>
      </c>
      <c r="AC194" s="1" t="s">
        <v>112</v>
      </c>
      <c r="AD194" s="1" t="s">
        <v>53</v>
      </c>
      <c r="AE194" s="1" t="s">
        <v>8</v>
      </c>
      <c r="AF194" s="1" t="s">
        <v>1075</v>
      </c>
      <c r="AG194" s="1" t="s">
        <v>946</v>
      </c>
      <c r="AH194" s="1" t="s">
        <v>26</v>
      </c>
      <c r="AI194" s="1" t="s">
        <v>36</v>
      </c>
      <c r="AJ194" s="1" t="s">
        <v>1072</v>
      </c>
      <c r="AK194" s="1"/>
      <c r="AL194" s="1"/>
      <c r="AM194" s="1"/>
      <c r="AN194" s="1"/>
      <c r="AO194" s="1"/>
      <c r="AP194" s="1"/>
      <c r="AQ194" s="1" t="s">
        <v>35</v>
      </c>
      <c r="AR194" s="1" t="s">
        <v>139</v>
      </c>
      <c r="AS194" s="1">
        <v>1.45</v>
      </c>
      <c r="AT194" s="1">
        <v>1.05</v>
      </c>
      <c r="AU194" s="1">
        <v>2</v>
      </c>
      <c r="AV194" s="1" t="s">
        <v>1</v>
      </c>
      <c r="AW194" s="1">
        <v>1.32</v>
      </c>
      <c r="AX194" s="1">
        <v>0.89</v>
      </c>
      <c r="AY194" s="1">
        <v>1.96</v>
      </c>
      <c r="AZ194" s="1" t="s">
        <v>545</v>
      </c>
      <c r="BA194" s="1" t="s">
        <v>139</v>
      </c>
      <c r="BB194" s="1">
        <v>1.45</v>
      </c>
      <c r="BC194" s="1">
        <v>1.05</v>
      </c>
      <c r="BD194" s="1">
        <v>2</v>
      </c>
      <c r="BE194" s="1">
        <v>2.5000000000000001E-2</v>
      </c>
      <c r="BF194" s="1" t="s">
        <v>1073</v>
      </c>
    </row>
    <row r="195" spans="1:58" x14ac:dyDescent="0.25">
      <c r="A195" s="1" t="s">
        <v>1062</v>
      </c>
      <c r="B195" s="1" t="s">
        <v>1063</v>
      </c>
      <c r="C195" s="1" t="s">
        <v>1064</v>
      </c>
      <c r="D195" s="1">
        <v>2014</v>
      </c>
      <c r="E195" s="1" t="b">
        <v>1</v>
      </c>
      <c r="F195" s="1" t="s">
        <v>1380</v>
      </c>
      <c r="G195" s="1" t="s">
        <v>1380</v>
      </c>
      <c r="H195" s="1" t="s">
        <v>22</v>
      </c>
      <c r="I195" s="1" t="s">
        <v>21</v>
      </c>
      <c r="J195" s="1" t="s">
        <v>20</v>
      </c>
      <c r="K195" s="1" t="s">
        <v>1065</v>
      </c>
      <c r="L195" s="1" t="s">
        <v>1065</v>
      </c>
      <c r="M195" s="1" t="s">
        <v>278</v>
      </c>
      <c r="N195" s="1" t="s">
        <v>1066</v>
      </c>
      <c r="O195" s="1" t="s">
        <v>42</v>
      </c>
      <c r="P195" s="1" t="s">
        <v>15</v>
      </c>
      <c r="Q195" s="1" t="s">
        <v>1526</v>
      </c>
      <c r="R195" s="1" t="s">
        <v>35</v>
      </c>
      <c r="S195" s="1" t="s">
        <v>21</v>
      </c>
      <c r="T195" s="1">
        <v>2</v>
      </c>
      <c r="U195" s="1" t="s">
        <v>145</v>
      </c>
      <c r="V195" s="1" t="s">
        <v>53</v>
      </c>
      <c r="W195" s="1" t="s">
        <v>13</v>
      </c>
      <c r="X195" s="1" t="s">
        <v>1067</v>
      </c>
      <c r="Y195" s="1" t="s">
        <v>1068</v>
      </c>
      <c r="Z195" s="1" t="s">
        <v>11</v>
      </c>
      <c r="AA195" s="1" t="s">
        <v>1069</v>
      </c>
      <c r="AB195" s="1" t="s">
        <v>541</v>
      </c>
      <c r="AC195" s="1" t="s">
        <v>112</v>
      </c>
      <c r="AD195" s="1" t="s">
        <v>53</v>
      </c>
      <c r="AE195" s="1" t="s">
        <v>8</v>
      </c>
      <c r="AF195" s="1" t="s">
        <v>1070</v>
      </c>
      <c r="AG195" s="1" t="s">
        <v>1071</v>
      </c>
      <c r="AH195" s="1" t="s">
        <v>26</v>
      </c>
      <c r="AI195" s="1" t="s">
        <v>36</v>
      </c>
      <c r="AJ195" s="1" t="s">
        <v>1072</v>
      </c>
      <c r="AK195" s="1"/>
      <c r="AL195" s="1"/>
      <c r="AM195" s="1"/>
      <c r="AN195" s="1"/>
      <c r="AO195" s="1"/>
      <c r="AP195" s="1"/>
      <c r="AQ195" s="1" t="s">
        <v>35</v>
      </c>
      <c r="AR195" s="1" t="s">
        <v>139</v>
      </c>
      <c r="AS195" s="1">
        <v>1.42</v>
      </c>
      <c r="AT195" s="1">
        <v>1.02</v>
      </c>
      <c r="AU195" s="1">
        <v>1.98</v>
      </c>
      <c r="AV195" s="1" t="s">
        <v>1</v>
      </c>
      <c r="AW195" s="1">
        <v>1.56</v>
      </c>
      <c r="AX195" s="1">
        <v>1.03</v>
      </c>
      <c r="AY195" s="1">
        <v>2.37</v>
      </c>
      <c r="AZ195" s="1">
        <v>3.7999999999999999E-2</v>
      </c>
      <c r="BA195" s="1" t="s">
        <v>139</v>
      </c>
      <c r="BB195" s="1">
        <v>1.42</v>
      </c>
      <c r="BC195" s="1">
        <v>1.02</v>
      </c>
      <c r="BD195" s="1">
        <v>1.98</v>
      </c>
      <c r="BE195" s="1">
        <v>3.6999999999999998E-2</v>
      </c>
      <c r="BF195" s="1" t="s">
        <v>1073</v>
      </c>
    </row>
    <row r="196" spans="1:58" x14ac:dyDescent="0.25">
      <c r="A196" s="1" t="s">
        <v>1079</v>
      </c>
      <c r="B196" s="1" t="s">
        <v>1080</v>
      </c>
      <c r="C196" s="1" t="s">
        <v>1081</v>
      </c>
      <c r="D196" s="1">
        <v>2020</v>
      </c>
      <c r="E196" s="1" t="b">
        <v>0</v>
      </c>
      <c r="F196" s="1" t="s">
        <v>1381</v>
      </c>
      <c r="G196" s="1" t="s">
        <v>1380</v>
      </c>
      <c r="H196" s="1" t="s">
        <v>22</v>
      </c>
      <c r="I196" s="1" t="s">
        <v>21</v>
      </c>
      <c r="J196" s="1" t="s">
        <v>20</v>
      </c>
      <c r="K196" s="1" t="s">
        <v>1082</v>
      </c>
      <c r="L196" s="1" t="s">
        <v>1082</v>
      </c>
      <c r="M196" s="1" t="s">
        <v>18</v>
      </c>
      <c r="N196" s="1" t="s">
        <v>1083</v>
      </c>
      <c r="O196" s="1" t="s">
        <v>42</v>
      </c>
      <c r="P196" s="1" t="s">
        <v>258</v>
      </c>
      <c r="Q196" s="1" t="s">
        <v>1526</v>
      </c>
      <c r="R196" s="1" t="s">
        <v>2</v>
      </c>
      <c r="S196" s="1" t="s">
        <v>21</v>
      </c>
      <c r="T196" s="1">
        <v>1</v>
      </c>
      <c r="U196" s="1" t="s">
        <v>145</v>
      </c>
      <c r="V196" s="1" t="s">
        <v>53</v>
      </c>
      <c r="W196" s="1" t="s">
        <v>13</v>
      </c>
      <c r="X196" s="1">
        <v>72</v>
      </c>
      <c r="Y196" s="1">
        <v>3.2000000000000001E-2</v>
      </c>
      <c r="Z196" s="1" t="s">
        <v>11</v>
      </c>
      <c r="AA196" s="1" t="s">
        <v>1084</v>
      </c>
      <c r="AB196" s="1" t="s">
        <v>1084</v>
      </c>
      <c r="AC196" s="1" t="s">
        <v>67</v>
      </c>
      <c r="AD196" s="1" t="s">
        <v>53</v>
      </c>
      <c r="AE196" s="1" t="s">
        <v>8</v>
      </c>
      <c r="AF196" s="1" t="s">
        <v>1085</v>
      </c>
      <c r="AG196" s="1">
        <v>1.2702445E-2</v>
      </c>
      <c r="AH196" s="1" t="s">
        <v>26</v>
      </c>
      <c r="AI196" s="1" t="s">
        <v>36</v>
      </c>
      <c r="AJ196" s="1" t="s">
        <v>1072</v>
      </c>
      <c r="AK196" s="1"/>
      <c r="AL196" s="1"/>
      <c r="AM196" s="1"/>
      <c r="AN196" s="1"/>
      <c r="AO196" s="1"/>
      <c r="AP196" s="1"/>
      <c r="AQ196" s="1" t="s">
        <v>2</v>
      </c>
      <c r="AR196" s="1" t="s">
        <v>1</v>
      </c>
      <c r="AS196" s="1">
        <v>4.4800000000000004</v>
      </c>
      <c r="AT196" s="1">
        <v>1.72</v>
      </c>
      <c r="AU196" s="1">
        <v>11.7</v>
      </c>
      <c r="AV196" s="1" t="s">
        <v>1</v>
      </c>
      <c r="AW196" s="1">
        <v>4.4800000000000004</v>
      </c>
      <c r="AX196" s="1">
        <v>1.72</v>
      </c>
      <c r="AY196" s="1">
        <v>11.7</v>
      </c>
      <c r="AZ196" s="1">
        <v>2E-3</v>
      </c>
      <c r="BA196" s="1" t="s">
        <v>0</v>
      </c>
      <c r="BB196" s="1"/>
      <c r="BC196" s="1"/>
      <c r="BD196" s="1"/>
      <c r="BE196" s="1" t="s">
        <v>0</v>
      </c>
      <c r="BF196" s="1" t="s">
        <v>0</v>
      </c>
    </row>
    <row r="197" spans="1:58" x14ac:dyDescent="0.25">
      <c r="A197" s="1" t="s">
        <v>1079</v>
      </c>
      <c r="B197" s="1" t="s">
        <v>1080</v>
      </c>
      <c r="C197" s="1" t="s">
        <v>1081</v>
      </c>
      <c r="D197" s="1">
        <v>2020</v>
      </c>
      <c r="E197" s="1" t="b">
        <v>0</v>
      </c>
      <c r="F197" s="1" t="s">
        <v>1381</v>
      </c>
      <c r="G197" s="1" t="s">
        <v>1380</v>
      </c>
      <c r="H197" s="1" t="s">
        <v>22</v>
      </c>
      <c r="I197" s="1" t="s">
        <v>21</v>
      </c>
      <c r="J197" s="1" t="s">
        <v>20</v>
      </c>
      <c r="K197" s="1" t="s">
        <v>1082</v>
      </c>
      <c r="L197" s="1" t="s">
        <v>1082</v>
      </c>
      <c r="M197" s="1" t="s">
        <v>18</v>
      </c>
      <c r="N197" s="1" t="s">
        <v>1083</v>
      </c>
      <c r="O197" s="1" t="s">
        <v>42</v>
      </c>
      <c r="P197" s="1" t="s">
        <v>258</v>
      </c>
      <c r="Q197" s="1" t="s">
        <v>1526</v>
      </c>
      <c r="R197" s="1" t="s">
        <v>2</v>
      </c>
      <c r="S197" s="1" t="s">
        <v>21</v>
      </c>
      <c r="T197" s="1">
        <v>1</v>
      </c>
      <c r="U197" s="1" t="s">
        <v>145</v>
      </c>
      <c r="V197" s="1" t="s">
        <v>53</v>
      </c>
      <c r="W197" s="1" t="s">
        <v>13</v>
      </c>
      <c r="X197" s="1" t="s">
        <v>453</v>
      </c>
      <c r="Y197" s="1">
        <v>3.2000000000000001E-2</v>
      </c>
      <c r="Z197" s="1" t="s">
        <v>11</v>
      </c>
      <c r="AA197" s="1" t="s">
        <v>541</v>
      </c>
      <c r="AB197" s="1" t="s">
        <v>541</v>
      </c>
      <c r="AC197" s="1" t="s">
        <v>67</v>
      </c>
      <c r="AD197" s="1" t="s">
        <v>53</v>
      </c>
      <c r="AE197" s="1" t="s">
        <v>8</v>
      </c>
      <c r="AF197" s="1" t="s">
        <v>1086</v>
      </c>
      <c r="AG197" s="1">
        <v>1.3337567E-2</v>
      </c>
      <c r="AH197" s="1" t="s">
        <v>26</v>
      </c>
      <c r="AI197" s="1" t="s">
        <v>36</v>
      </c>
      <c r="AJ197" s="1" t="s">
        <v>1072</v>
      </c>
      <c r="AK197" s="1"/>
      <c r="AL197" s="1"/>
      <c r="AM197" s="1"/>
      <c r="AN197" s="1"/>
      <c r="AO197" s="1"/>
      <c r="AP197" s="1"/>
      <c r="AQ197" s="1" t="s">
        <v>2</v>
      </c>
      <c r="AR197" s="1" t="s">
        <v>1</v>
      </c>
      <c r="AS197" s="1">
        <v>5.28</v>
      </c>
      <c r="AT197" s="1">
        <v>2.17</v>
      </c>
      <c r="AU197" s="1">
        <v>12.84</v>
      </c>
      <c r="AV197" s="1" t="s">
        <v>1</v>
      </c>
      <c r="AW197" s="1">
        <v>5.28</v>
      </c>
      <c r="AX197" s="1">
        <v>2.17</v>
      </c>
      <c r="AY197" s="1">
        <v>12.84</v>
      </c>
      <c r="AZ197" s="1" t="s">
        <v>60</v>
      </c>
      <c r="BA197" s="1" t="s">
        <v>0</v>
      </c>
      <c r="BB197" s="1"/>
      <c r="BC197" s="1"/>
      <c r="BD197" s="1"/>
      <c r="BE197" s="1" t="s">
        <v>0</v>
      </c>
      <c r="BF197" s="1" t="s">
        <v>0</v>
      </c>
    </row>
    <row r="198" spans="1:58" x14ac:dyDescent="0.25">
      <c r="A198" s="1" t="s">
        <v>1087</v>
      </c>
      <c r="B198" s="1" t="s">
        <v>1088</v>
      </c>
      <c r="C198" s="1" t="s">
        <v>1089</v>
      </c>
      <c r="D198" s="1">
        <v>2011</v>
      </c>
      <c r="E198" s="1" t="b">
        <v>1</v>
      </c>
      <c r="F198" s="1" t="s">
        <v>1380</v>
      </c>
      <c r="G198" s="1" t="s">
        <v>1380</v>
      </c>
      <c r="H198" s="1" t="s">
        <v>22</v>
      </c>
      <c r="I198" s="1" t="s">
        <v>21</v>
      </c>
      <c r="J198" s="1" t="s">
        <v>20</v>
      </c>
      <c r="K198" s="1">
        <v>924</v>
      </c>
      <c r="L198" s="1" t="s">
        <v>1090</v>
      </c>
      <c r="M198" s="1" t="s">
        <v>18</v>
      </c>
      <c r="N198" s="1" t="s">
        <v>485</v>
      </c>
      <c r="O198" s="1" t="s">
        <v>42</v>
      </c>
      <c r="P198" s="1" t="s">
        <v>133</v>
      </c>
      <c r="Q198" s="1" t="s">
        <v>1526</v>
      </c>
      <c r="R198" s="1" t="s">
        <v>35</v>
      </c>
      <c r="S198" s="1" t="s">
        <v>21</v>
      </c>
      <c r="T198" s="1">
        <v>2</v>
      </c>
      <c r="U198" s="1" t="s">
        <v>1091</v>
      </c>
      <c r="V198" s="1" t="s">
        <v>53</v>
      </c>
      <c r="W198" s="1">
        <v>1</v>
      </c>
      <c r="X198" s="1" t="s">
        <v>1092</v>
      </c>
      <c r="Y198" s="1" t="s">
        <v>1029</v>
      </c>
      <c r="Z198" s="1" t="s">
        <v>11</v>
      </c>
      <c r="AA198" s="1" t="s">
        <v>1093</v>
      </c>
      <c r="AB198" s="1" t="s">
        <v>1094</v>
      </c>
      <c r="AC198" s="1" t="s">
        <v>14</v>
      </c>
      <c r="AD198" s="1" t="s">
        <v>53</v>
      </c>
      <c r="AE198" s="1" t="s">
        <v>63</v>
      </c>
      <c r="AF198" s="1" t="s">
        <v>1095</v>
      </c>
      <c r="AG198" s="1">
        <v>9.5238094999999995E-2</v>
      </c>
      <c r="AH198" s="1" t="s">
        <v>26</v>
      </c>
      <c r="AI198" s="1" t="s">
        <v>36</v>
      </c>
      <c r="AJ198" s="1" t="s">
        <v>1072</v>
      </c>
      <c r="AK198" s="1"/>
      <c r="AL198" s="1"/>
      <c r="AM198" s="1"/>
      <c r="AN198" s="1"/>
      <c r="AO198" s="1"/>
      <c r="AP198" s="1"/>
      <c r="AQ198" s="1" t="s">
        <v>35</v>
      </c>
      <c r="AR198" s="1" t="s">
        <v>1</v>
      </c>
      <c r="AS198" s="1">
        <v>3</v>
      </c>
      <c r="AT198" s="1">
        <v>1.3</v>
      </c>
      <c r="AU198" s="1">
        <v>6.92</v>
      </c>
      <c r="AV198" s="1" t="s">
        <v>1</v>
      </c>
      <c r="AW198" s="1">
        <v>3.5</v>
      </c>
      <c r="AX198" s="1">
        <v>1.66</v>
      </c>
      <c r="AY198" s="1">
        <v>7.36</v>
      </c>
      <c r="AZ198" s="1" t="s">
        <v>60</v>
      </c>
      <c r="BA198" s="1" t="s">
        <v>1</v>
      </c>
      <c r="BB198" s="1">
        <v>3</v>
      </c>
      <c r="BC198" s="1">
        <v>1.3</v>
      </c>
      <c r="BD198" s="1">
        <v>6.92</v>
      </c>
      <c r="BE198" s="1" t="s">
        <v>767</v>
      </c>
      <c r="BF198" s="1" t="s">
        <v>1096</v>
      </c>
    </row>
    <row r="199" spans="1:58" x14ac:dyDescent="0.25">
      <c r="A199" s="1" t="s">
        <v>1097</v>
      </c>
      <c r="B199" s="1" t="s">
        <v>1098</v>
      </c>
      <c r="C199" s="1" t="s">
        <v>1099</v>
      </c>
      <c r="D199" s="1">
        <v>2013</v>
      </c>
      <c r="E199" s="1" t="b">
        <v>1</v>
      </c>
      <c r="F199" s="1" t="s">
        <v>1380</v>
      </c>
      <c r="G199" s="1" t="s">
        <v>1380</v>
      </c>
      <c r="H199" s="1" t="s">
        <v>22</v>
      </c>
      <c r="I199" s="1" t="s">
        <v>21</v>
      </c>
      <c r="J199" s="1" t="s">
        <v>20</v>
      </c>
      <c r="K199" s="1">
        <v>481</v>
      </c>
      <c r="L199" s="1" t="s">
        <v>1100</v>
      </c>
      <c r="M199" s="1" t="s">
        <v>18</v>
      </c>
      <c r="N199" s="1" t="s">
        <v>277</v>
      </c>
      <c r="O199" s="1" t="s">
        <v>1101</v>
      </c>
      <c r="P199" s="1" t="s">
        <v>15</v>
      </c>
      <c r="Q199" s="1" t="s">
        <v>1526</v>
      </c>
      <c r="R199" s="1" t="s">
        <v>35</v>
      </c>
      <c r="S199" s="1" t="s">
        <v>21</v>
      </c>
      <c r="T199" s="1">
        <v>2</v>
      </c>
      <c r="U199" s="1" t="s">
        <v>145</v>
      </c>
      <c r="V199" s="1" t="s">
        <v>53</v>
      </c>
      <c r="W199" s="1" t="s">
        <v>13</v>
      </c>
      <c r="X199" s="1" t="s">
        <v>170</v>
      </c>
      <c r="Y199" s="1" t="s">
        <v>1102</v>
      </c>
      <c r="Z199" s="1" t="s">
        <v>11</v>
      </c>
      <c r="AA199" s="1" t="s">
        <v>1103</v>
      </c>
      <c r="AB199" s="1" t="s">
        <v>1103</v>
      </c>
      <c r="AC199" s="1" t="s">
        <v>9</v>
      </c>
      <c r="AD199" s="1" t="s">
        <v>9</v>
      </c>
      <c r="AE199" s="1" t="s">
        <v>8</v>
      </c>
      <c r="AF199" s="1" t="s">
        <v>1104</v>
      </c>
      <c r="AG199" s="1" t="s">
        <v>1105</v>
      </c>
      <c r="AH199" s="1" t="s">
        <v>26</v>
      </c>
      <c r="AI199" s="1" t="s">
        <v>36</v>
      </c>
      <c r="AJ199" s="1" t="s">
        <v>1072</v>
      </c>
      <c r="AK199" s="1"/>
      <c r="AL199" s="1"/>
      <c r="AM199" s="1"/>
      <c r="AN199" s="1"/>
      <c r="AO199" s="1"/>
      <c r="AP199" s="1"/>
      <c r="AQ199" s="1" t="s">
        <v>35</v>
      </c>
      <c r="AR199" s="1" t="s">
        <v>1</v>
      </c>
      <c r="AS199" s="1">
        <v>0.91</v>
      </c>
      <c r="AT199" s="1">
        <v>0.63</v>
      </c>
      <c r="AU199" s="1">
        <v>1.32</v>
      </c>
      <c r="AV199" s="1" t="s">
        <v>1</v>
      </c>
      <c r="AW199" s="1">
        <v>0.91</v>
      </c>
      <c r="AX199" s="1">
        <v>0.63</v>
      </c>
      <c r="AY199" s="1">
        <v>1.32</v>
      </c>
      <c r="AZ199" s="1" t="s">
        <v>1106</v>
      </c>
      <c r="BA199" s="1" t="s">
        <v>1</v>
      </c>
      <c r="BB199" s="1">
        <v>0.9</v>
      </c>
      <c r="BC199" s="1">
        <v>0.6</v>
      </c>
      <c r="BD199" s="1">
        <v>1.3</v>
      </c>
      <c r="BE199" s="1" t="s">
        <v>1107</v>
      </c>
      <c r="BF199" s="1" t="s">
        <v>1108</v>
      </c>
    </row>
    <row r="200" spans="1:58" x14ac:dyDescent="0.25">
      <c r="A200" s="1" t="s">
        <v>1109</v>
      </c>
      <c r="B200" s="1" t="s">
        <v>1110</v>
      </c>
      <c r="C200" s="1" t="s">
        <v>1111</v>
      </c>
      <c r="D200" s="1">
        <v>2017</v>
      </c>
      <c r="E200" s="1" t="b">
        <v>0</v>
      </c>
      <c r="F200" s="1" t="s">
        <v>1380</v>
      </c>
      <c r="G200" s="1" t="s">
        <v>1381</v>
      </c>
      <c r="H200" s="1" t="s">
        <v>22</v>
      </c>
      <c r="I200" s="1" t="s">
        <v>21</v>
      </c>
      <c r="J200" s="1" t="s">
        <v>20</v>
      </c>
      <c r="K200" s="1">
        <v>1914</v>
      </c>
      <c r="L200" s="1">
        <v>1906</v>
      </c>
      <c r="M200" s="1" t="s">
        <v>18</v>
      </c>
      <c r="N200" s="1" t="s">
        <v>475</v>
      </c>
      <c r="O200" s="1" t="s">
        <v>42</v>
      </c>
      <c r="P200" s="1" t="s">
        <v>15</v>
      </c>
      <c r="Q200" s="1" t="s">
        <v>1526</v>
      </c>
      <c r="R200" s="1" t="s">
        <v>2</v>
      </c>
      <c r="S200" s="1" t="s">
        <v>21</v>
      </c>
      <c r="T200" s="1">
        <v>1</v>
      </c>
      <c r="U200" s="1" t="s">
        <v>67</v>
      </c>
      <c r="V200" s="1" t="s">
        <v>53</v>
      </c>
      <c r="W200" s="1" t="s">
        <v>13</v>
      </c>
      <c r="X200" s="1" t="s">
        <v>1112</v>
      </c>
      <c r="Y200" s="1" t="s">
        <v>662</v>
      </c>
      <c r="Z200" s="1" t="s">
        <v>80</v>
      </c>
      <c r="AA200" s="1" t="s">
        <v>1114</v>
      </c>
      <c r="AB200" s="1" t="s">
        <v>1114</v>
      </c>
      <c r="AC200" s="1" t="s">
        <v>41</v>
      </c>
      <c r="AD200" s="1" t="s">
        <v>53</v>
      </c>
      <c r="AE200" s="1" t="s">
        <v>63</v>
      </c>
      <c r="AF200" s="1" t="s">
        <v>1115</v>
      </c>
      <c r="AG200" s="1" t="s">
        <v>1116</v>
      </c>
      <c r="AH200" s="1" t="s">
        <v>26</v>
      </c>
      <c r="AI200" s="1" t="s">
        <v>36</v>
      </c>
      <c r="AJ200" s="1" t="s">
        <v>56</v>
      </c>
      <c r="AK200" s="1"/>
      <c r="AL200" s="1"/>
      <c r="AM200" s="1"/>
      <c r="AN200" s="1"/>
      <c r="AO200" s="1"/>
      <c r="AP200" s="1"/>
      <c r="AQ200" s="1" t="s">
        <v>2</v>
      </c>
      <c r="AR200" s="1" t="s">
        <v>1</v>
      </c>
      <c r="AS200" s="1">
        <v>0.8</v>
      </c>
      <c r="AT200" s="1">
        <v>0.6</v>
      </c>
      <c r="AU200" s="1">
        <v>1.1000000000000001</v>
      </c>
      <c r="AV200" s="1" t="s">
        <v>1</v>
      </c>
      <c r="AW200" s="1">
        <v>0.8</v>
      </c>
      <c r="AX200" s="1">
        <v>0.6</v>
      </c>
      <c r="AY200" s="1">
        <v>1.1000000000000001</v>
      </c>
      <c r="AZ200" s="1" t="s">
        <v>0</v>
      </c>
      <c r="BA200" s="1" t="s">
        <v>0</v>
      </c>
      <c r="BB200" s="1"/>
      <c r="BC200" s="1"/>
      <c r="BD200" s="1"/>
      <c r="BE200" s="1" t="s">
        <v>0</v>
      </c>
      <c r="BF200" s="1" t="s">
        <v>0</v>
      </c>
    </row>
    <row r="201" spans="1:58" x14ac:dyDescent="0.25">
      <c r="A201" s="1" t="s">
        <v>1109</v>
      </c>
      <c r="B201" s="1" t="s">
        <v>1110</v>
      </c>
      <c r="C201" s="1" t="s">
        <v>1111</v>
      </c>
      <c r="D201" s="1">
        <v>2017</v>
      </c>
      <c r="E201" s="1" t="b">
        <v>0</v>
      </c>
      <c r="F201" s="1" t="s">
        <v>1380</v>
      </c>
      <c r="G201" s="1" t="s">
        <v>1381</v>
      </c>
      <c r="H201" s="1" t="s">
        <v>22</v>
      </c>
      <c r="I201" s="1" t="s">
        <v>21</v>
      </c>
      <c r="J201" s="1" t="s">
        <v>20</v>
      </c>
      <c r="K201" s="1">
        <v>1914</v>
      </c>
      <c r="L201" s="1">
        <v>1906</v>
      </c>
      <c r="M201" s="1" t="s">
        <v>18</v>
      </c>
      <c r="N201" s="1" t="s">
        <v>475</v>
      </c>
      <c r="O201" s="1" t="s">
        <v>42</v>
      </c>
      <c r="P201" s="1" t="s">
        <v>15</v>
      </c>
      <c r="Q201" s="1" t="s">
        <v>1526</v>
      </c>
      <c r="R201" s="1" t="s">
        <v>2</v>
      </c>
      <c r="S201" s="1" t="s">
        <v>21</v>
      </c>
      <c r="T201" s="1">
        <v>1</v>
      </c>
      <c r="U201" s="1" t="s">
        <v>67</v>
      </c>
      <c r="V201" s="1" t="s">
        <v>53</v>
      </c>
      <c r="W201" s="1" t="s">
        <v>13</v>
      </c>
      <c r="X201" s="1" t="s">
        <v>1112</v>
      </c>
      <c r="Y201" s="1" t="s">
        <v>662</v>
      </c>
      <c r="Z201" s="1" t="s">
        <v>11</v>
      </c>
      <c r="AA201" s="1" t="s">
        <v>186</v>
      </c>
      <c r="AB201" s="1" t="s">
        <v>186</v>
      </c>
      <c r="AC201" s="1" t="s">
        <v>41</v>
      </c>
      <c r="AD201" s="1" t="s">
        <v>53</v>
      </c>
      <c r="AE201" s="1" t="s">
        <v>63</v>
      </c>
      <c r="AF201" s="1" t="s">
        <v>12</v>
      </c>
      <c r="AG201" s="1" t="s">
        <v>1113</v>
      </c>
      <c r="AH201" s="1" t="s">
        <v>26</v>
      </c>
      <c r="AI201" s="1" t="s">
        <v>36</v>
      </c>
      <c r="AJ201" s="1" t="s">
        <v>56</v>
      </c>
      <c r="AK201" s="1"/>
      <c r="AL201" s="1"/>
      <c r="AM201" s="1"/>
      <c r="AN201" s="1"/>
      <c r="AO201" s="1"/>
      <c r="AP201" s="1"/>
      <c r="AQ201" s="1" t="s">
        <v>2</v>
      </c>
      <c r="AR201" s="1" t="s">
        <v>1</v>
      </c>
      <c r="AS201" s="1">
        <v>1.1000000000000001</v>
      </c>
      <c r="AT201" s="1">
        <v>0.8</v>
      </c>
      <c r="AU201" s="1">
        <v>1.5</v>
      </c>
      <c r="AV201" s="1" t="s">
        <v>1</v>
      </c>
      <c r="AW201" s="1">
        <v>1.1000000000000001</v>
      </c>
      <c r="AX201" s="1">
        <v>0.8</v>
      </c>
      <c r="AY201" s="1">
        <v>1.5</v>
      </c>
      <c r="AZ201" s="1" t="s">
        <v>0</v>
      </c>
      <c r="BA201" s="1" t="s">
        <v>0</v>
      </c>
      <c r="BB201" s="1"/>
      <c r="BC201" s="1"/>
      <c r="BD201" s="1"/>
      <c r="BE201" s="1" t="s">
        <v>0</v>
      </c>
      <c r="BF201" s="1" t="s">
        <v>0</v>
      </c>
    </row>
    <row r="202" spans="1:58" x14ac:dyDescent="0.25">
      <c r="A202" s="1" t="s">
        <v>1123</v>
      </c>
      <c r="B202" s="1" t="s">
        <v>1124</v>
      </c>
      <c r="C202" s="1" t="s">
        <v>1125</v>
      </c>
      <c r="D202" s="1">
        <v>2021</v>
      </c>
      <c r="E202" s="1" t="b">
        <v>0</v>
      </c>
      <c r="F202" s="1" t="s">
        <v>1381</v>
      </c>
      <c r="G202" s="1" t="s">
        <v>1380</v>
      </c>
      <c r="H202" s="1" t="s">
        <v>22</v>
      </c>
      <c r="I202" s="1" t="s">
        <v>21</v>
      </c>
      <c r="J202" s="1" t="s">
        <v>20</v>
      </c>
      <c r="K202" s="1" t="s">
        <v>1126</v>
      </c>
      <c r="L202" s="1">
        <v>283</v>
      </c>
      <c r="M202" s="1" t="s">
        <v>18</v>
      </c>
      <c r="N202" s="1" t="s">
        <v>1127</v>
      </c>
      <c r="O202" s="1" t="s">
        <v>1128</v>
      </c>
      <c r="P202" s="1" t="s">
        <v>258</v>
      </c>
      <c r="Q202" s="1" t="s">
        <v>1526</v>
      </c>
      <c r="R202" s="1" t="s">
        <v>2</v>
      </c>
      <c r="S202" s="1" t="s">
        <v>21</v>
      </c>
      <c r="T202" s="1">
        <v>1</v>
      </c>
      <c r="U202" s="1" t="s">
        <v>67</v>
      </c>
      <c r="V202" s="1" t="s">
        <v>53</v>
      </c>
      <c r="W202" s="1" t="s">
        <v>13</v>
      </c>
      <c r="X202" s="1" t="s">
        <v>1129</v>
      </c>
      <c r="Y202" s="1">
        <v>5.6860000000000001E-2</v>
      </c>
      <c r="Z202" s="1" t="s">
        <v>80</v>
      </c>
      <c r="AA202" s="1" t="s">
        <v>1135</v>
      </c>
      <c r="AB202" s="1" t="s">
        <v>1136</v>
      </c>
      <c r="AC202" s="1" t="s">
        <v>9</v>
      </c>
      <c r="AD202" s="1" t="s">
        <v>9</v>
      </c>
      <c r="AE202" s="1" t="s">
        <v>8</v>
      </c>
      <c r="AF202" s="1" t="s">
        <v>1137</v>
      </c>
      <c r="AG202" s="1" t="s">
        <v>1138</v>
      </c>
      <c r="AH202" s="1" t="s">
        <v>26</v>
      </c>
      <c r="AI202" s="1" t="s">
        <v>36</v>
      </c>
      <c r="AJ202" s="1" t="s">
        <v>1133</v>
      </c>
      <c r="AK202" s="1"/>
      <c r="AL202" s="1"/>
      <c r="AM202" s="1"/>
      <c r="AN202" s="1"/>
      <c r="AO202" s="1"/>
      <c r="AP202" s="1"/>
      <c r="AQ202" s="1" t="s">
        <v>2</v>
      </c>
      <c r="AR202" s="1" t="s">
        <v>1</v>
      </c>
      <c r="AS202" s="1">
        <v>2.2200000000000002</v>
      </c>
      <c r="AT202" s="1">
        <v>0.83</v>
      </c>
      <c r="AU202" s="1">
        <v>5.96</v>
      </c>
      <c r="AV202" s="1" t="s">
        <v>1</v>
      </c>
      <c r="AW202" s="1">
        <v>2.2200000000000002</v>
      </c>
      <c r="AX202" s="1">
        <v>0.83</v>
      </c>
      <c r="AY202" s="1">
        <v>5.96</v>
      </c>
      <c r="AZ202" s="1" t="s">
        <v>718</v>
      </c>
      <c r="BA202" s="1" t="s">
        <v>0</v>
      </c>
      <c r="BB202" s="1"/>
      <c r="BC202" s="1"/>
      <c r="BD202" s="1"/>
      <c r="BE202" s="1" t="s">
        <v>0</v>
      </c>
      <c r="BF202" s="1" t="s">
        <v>0</v>
      </c>
    </row>
    <row r="203" spans="1:58" x14ac:dyDescent="0.25">
      <c r="A203" s="1" t="s">
        <v>1123</v>
      </c>
      <c r="B203" s="1" t="s">
        <v>1124</v>
      </c>
      <c r="C203" s="1" t="s">
        <v>1125</v>
      </c>
      <c r="D203" s="1">
        <v>2021</v>
      </c>
      <c r="E203" s="1" t="b">
        <v>0</v>
      </c>
      <c r="F203" s="1" t="s">
        <v>1381</v>
      </c>
      <c r="G203" s="1" t="s">
        <v>1380</v>
      </c>
      <c r="H203" s="1" t="s">
        <v>22</v>
      </c>
      <c r="I203" s="1" t="s">
        <v>21</v>
      </c>
      <c r="J203" s="1" t="s">
        <v>20</v>
      </c>
      <c r="K203" s="1" t="s">
        <v>1126</v>
      </c>
      <c r="L203" s="1">
        <v>283</v>
      </c>
      <c r="M203" s="1" t="s">
        <v>18</v>
      </c>
      <c r="N203" s="1" t="s">
        <v>1127</v>
      </c>
      <c r="O203" s="1" t="s">
        <v>1128</v>
      </c>
      <c r="P203" s="1" t="s">
        <v>258</v>
      </c>
      <c r="Q203" s="1" t="s">
        <v>1526</v>
      </c>
      <c r="R203" s="1" t="s">
        <v>2</v>
      </c>
      <c r="S203" s="1" t="s">
        <v>21</v>
      </c>
      <c r="T203" s="1">
        <v>1</v>
      </c>
      <c r="U203" s="1" t="s">
        <v>67</v>
      </c>
      <c r="V203" s="1" t="s">
        <v>53</v>
      </c>
      <c r="W203" s="1" t="s">
        <v>13</v>
      </c>
      <c r="X203" s="1" t="s">
        <v>1129</v>
      </c>
      <c r="Y203" s="1">
        <v>5.6860000000000001E-2</v>
      </c>
      <c r="Z203" s="1" t="s">
        <v>80</v>
      </c>
      <c r="AA203" s="1" t="s">
        <v>1139</v>
      </c>
      <c r="AB203" s="1" t="s">
        <v>1140</v>
      </c>
      <c r="AC203" s="1" t="s">
        <v>9</v>
      </c>
      <c r="AD203" s="1" t="s">
        <v>9</v>
      </c>
      <c r="AE203" s="1" t="s">
        <v>8</v>
      </c>
      <c r="AF203" s="1" t="s">
        <v>1141</v>
      </c>
      <c r="AG203" s="1" t="s">
        <v>1142</v>
      </c>
      <c r="AH203" s="1" t="s">
        <v>26</v>
      </c>
      <c r="AI203" s="1" t="s">
        <v>36</v>
      </c>
      <c r="AJ203" s="1" t="s">
        <v>1133</v>
      </c>
      <c r="AK203" s="1"/>
      <c r="AL203" s="1"/>
      <c r="AM203" s="1"/>
      <c r="AN203" s="1"/>
      <c r="AO203" s="1"/>
      <c r="AP203" s="1"/>
      <c r="AQ203" s="1" t="s">
        <v>2</v>
      </c>
      <c r="AR203" s="1" t="s">
        <v>1</v>
      </c>
      <c r="AS203" s="1">
        <v>1.68</v>
      </c>
      <c r="AT203" s="1">
        <v>0.63</v>
      </c>
      <c r="AU203" s="1">
        <v>4.5</v>
      </c>
      <c r="AV203" s="1" t="s">
        <v>1</v>
      </c>
      <c r="AW203" s="1">
        <v>1.68</v>
      </c>
      <c r="AX203" s="1">
        <v>0.63</v>
      </c>
      <c r="AY203" s="1">
        <v>4.5</v>
      </c>
      <c r="AZ203" s="1" t="s">
        <v>890</v>
      </c>
      <c r="BA203" s="1" t="s">
        <v>0</v>
      </c>
      <c r="BB203" s="1"/>
      <c r="BC203" s="1"/>
      <c r="BD203" s="1"/>
      <c r="BE203" s="1" t="s">
        <v>0</v>
      </c>
      <c r="BF203" s="1" t="s">
        <v>0</v>
      </c>
    </row>
    <row r="204" spans="1:58" x14ac:dyDescent="0.25">
      <c r="A204" s="1" t="s">
        <v>1123</v>
      </c>
      <c r="B204" s="1" t="s">
        <v>1124</v>
      </c>
      <c r="C204" s="1" t="s">
        <v>1125</v>
      </c>
      <c r="D204" s="1">
        <v>2021</v>
      </c>
      <c r="E204" s="1" t="b">
        <v>0</v>
      </c>
      <c r="F204" s="1" t="s">
        <v>1381</v>
      </c>
      <c r="G204" s="1" t="s">
        <v>1380</v>
      </c>
      <c r="H204" s="1" t="s">
        <v>22</v>
      </c>
      <c r="I204" s="1" t="s">
        <v>21</v>
      </c>
      <c r="J204" s="1" t="s">
        <v>20</v>
      </c>
      <c r="K204" s="1" t="s">
        <v>1126</v>
      </c>
      <c r="L204" s="1">
        <v>283</v>
      </c>
      <c r="M204" s="1" t="s">
        <v>18</v>
      </c>
      <c r="N204" s="1" t="s">
        <v>1127</v>
      </c>
      <c r="O204" s="1" t="s">
        <v>1128</v>
      </c>
      <c r="P204" s="1" t="s">
        <v>258</v>
      </c>
      <c r="Q204" s="1" t="s">
        <v>1526</v>
      </c>
      <c r="R204" s="1" t="s">
        <v>35</v>
      </c>
      <c r="S204" s="1" t="s">
        <v>21</v>
      </c>
      <c r="T204" s="1">
        <v>2</v>
      </c>
      <c r="U204" s="1" t="s">
        <v>67</v>
      </c>
      <c r="V204" s="1" t="s">
        <v>53</v>
      </c>
      <c r="W204" s="1" t="s">
        <v>13</v>
      </c>
      <c r="X204" s="1" t="s">
        <v>1129</v>
      </c>
      <c r="Y204" s="1">
        <v>5.6860000000000001E-2</v>
      </c>
      <c r="Z204" s="1" t="s">
        <v>80</v>
      </c>
      <c r="AA204" s="1" t="s">
        <v>1143</v>
      </c>
      <c r="AB204" s="1" t="s">
        <v>1144</v>
      </c>
      <c r="AC204" s="1" t="s">
        <v>9</v>
      </c>
      <c r="AD204" s="1" t="s">
        <v>9</v>
      </c>
      <c r="AE204" s="1" t="s">
        <v>8</v>
      </c>
      <c r="AF204" s="1" t="s">
        <v>336</v>
      </c>
      <c r="AG204" s="1">
        <v>8.6956521999999994E-2</v>
      </c>
      <c r="AH204" s="1" t="s">
        <v>26</v>
      </c>
      <c r="AI204" s="1" t="s">
        <v>36</v>
      </c>
      <c r="AJ204" s="1" t="s">
        <v>1133</v>
      </c>
      <c r="AK204" s="1"/>
      <c r="AL204" s="1"/>
      <c r="AM204" s="1"/>
      <c r="AN204" s="1"/>
      <c r="AO204" s="1"/>
      <c r="AP204" s="1"/>
      <c r="AQ204" s="1" t="s">
        <v>35</v>
      </c>
      <c r="AR204" s="1" t="s">
        <v>1</v>
      </c>
      <c r="AS204" s="1">
        <v>2.59</v>
      </c>
      <c r="AT204" s="1">
        <v>0.67</v>
      </c>
      <c r="AU204" s="1">
        <v>10.19</v>
      </c>
      <c r="AV204" s="1" t="s">
        <v>1</v>
      </c>
      <c r="AW204" s="1">
        <v>4.8</v>
      </c>
      <c r="AX204" s="1">
        <v>1.54</v>
      </c>
      <c r="AY204" s="1">
        <v>14.93</v>
      </c>
      <c r="AZ204" s="1">
        <v>7.0000000000000001E-3</v>
      </c>
      <c r="BA204" s="1" t="s">
        <v>1</v>
      </c>
      <c r="BB204" s="1">
        <v>2.59</v>
      </c>
      <c r="BC204" s="1">
        <v>0.67</v>
      </c>
      <c r="BD204" s="1">
        <v>10.19</v>
      </c>
      <c r="BE204" s="1" t="s">
        <v>1145</v>
      </c>
      <c r="BF204" s="1" t="s">
        <v>0</v>
      </c>
    </row>
    <row r="205" spans="1:58" x14ac:dyDescent="0.25">
      <c r="A205" s="1" t="s">
        <v>1123</v>
      </c>
      <c r="B205" s="1" t="s">
        <v>1124</v>
      </c>
      <c r="C205" s="1" t="s">
        <v>1125</v>
      </c>
      <c r="D205" s="1">
        <v>2021</v>
      </c>
      <c r="E205" s="1" t="b">
        <v>0</v>
      </c>
      <c r="F205" s="1" t="s">
        <v>1381</v>
      </c>
      <c r="G205" s="1" t="s">
        <v>1380</v>
      </c>
      <c r="H205" s="1" t="s">
        <v>22</v>
      </c>
      <c r="I205" s="1" t="s">
        <v>21</v>
      </c>
      <c r="J205" s="1" t="s">
        <v>20</v>
      </c>
      <c r="K205" s="1" t="s">
        <v>1104</v>
      </c>
      <c r="L205" s="1">
        <v>186</v>
      </c>
      <c r="M205" s="1" t="s">
        <v>18</v>
      </c>
      <c r="N205" s="1" t="s">
        <v>1127</v>
      </c>
      <c r="O205" s="1" t="s">
        <v>1128</v>
      </c>
      <c r="P205" s="1" t="s">
        <v>258</v>
      </c>
      <c r="Q205" s="1" t="s">
        <v>1526</v>
      </c>
      <c r="R205" s="1" t="s">
        <v>2</v>
      </c>
      <c r="S205" s="1" t="s">
        <v>21</v>
      </c>
      <c r="T205" s="1">
        <v>1</v>
      </c>
      <c r="U205" s="1" t="s">
        <v>67</v>
      </c>
      <c r="V205" s="1" t="s">
        <v>53</v>
      </c>
      <c r="W205" s="1" t="s">
        <v>13</v>
      </c>
      <c r="X205" s="1" t="s">
        <v>1129</v>
      </c>
      <c r="Y205" s="1">
        <v>5.6860000000000001E-2</v>
      </c>
      <c r="Z205" s="1" t="s">
        <v>80</v>
      </c>
      <c r="AA205" s="1" t="s">
        <v>1143</v>
      </c>
      <c r="AB205" s="1" t="s">
        <v>1146</v>
      </c>
      <c r="AC205" s="1" t="s">
        <v>9</v>
      </c>
      <c r="AD205" s="1" t="s">
        <v>9</v>
      </c>
      <c r="AE205" s="1" t="s">
        <v>8</v>
      </c>
      <c r="AF205" s="1" t="s">
        <v>500</v>
      </c>
      <c r="AG205" s="1" t="s">
        <v>1147</v>
      </c>
      <c r="AH205" s="1" t="s">
        <v>26</v>
      </c>
      <c r="AI205" s="1" t="s">
        <v>36</v>
      </c>
      <c r="AJ205" s="1" t="s">
        <v>1133</v>
      </c>
      <c r="AK205" s="1"/>
      <c r="AL205" s="1"/>
      <c r="AM205" s="1"/>
      <c r="AN205" s="1"/>
      <c r="AO205" s="1"/>
      <c r="AP205" s="1"/>
      <c r="AQ205" s="1" t="s">
        <v>2</v>
      </c>
      <c r="AR205" s="1" t="s">
        <v>1</v>
      </c>
      <c r="AS205" s="1">
        <v>1.27</v>
      </c>
      <c r="AT205" s="1">
        <v>0.39</v>
      </c>
      <c r="AU205" s="1">
        <v>4.1399999999999997</v>
      </c>
      <c r="AV205" s="1" t="s">
        <v>1</v>
      </c>
      <c r="AW205" s="1">
        <v>1.27</v>
      </c>
      <c r="AX205" s="1">
        <v>0.39</v>
      </c>
      <c r="AY205" s="1">
        <v>4.1399999999999997</v>
      </c>
      <c r="AZ205" s="1" t="s">
        <v>1037</v>
      </c>
      <c r="BA205" s="1" t="s">
        <v>0</v>
      </c>
      <c r="BB205" s="1"/>
      <c r="BC205" s="1"/>
      <c r="BD205" s="1"/>
      <c r="BE205" s="1" t="s">
        <v>0</v>
      </c>
      <c r="BF205" s="1" t="s">
        <v>0</v>
      </c>
    </row>
    <row r="206" spans="1:58" x14ac:dyDescent="0.25">
      <c r="A206" s="1" t="s">
        <v>1123</v>
      </c>
      <c r="B206" s="1" t="s">
        <v>1124</v>
      </c>
      <c r="C206" s="1" t="s">
        <v>1125</v>
      </c>
      <c r="D206" s="1">
        <v>2021</v>
      </c>
      <c r="E206" s="1" t="b">
        <v>0</v>
      </c>
      <c r="F206" s="1" t="s">
        <v>1381</v>
      </c>
      <c r="G206" s="1" t="s">
        <v>1380</v>
      </c>
      <c r="H206" s="1" t="s">
        <v>22</v>
      </c>
      <c r="I206" s="1" t="s">
        <v>21</v>
      </c>
      <c r="J206" s="1" t="s">
        <v>20</v>
      </c>
      <c r="K206" s="1" t="s">
        <v>1104</v>
      </c>
      <c r="L206" s="1">
        <v>186</v>
      </c>
      <c r="M206" s="1" t="s">
        <v>18</v>
      </c>
      <c r="N206" s="1" t="s">
        <v>1127</v>
      </c>
      <c r="O206" s="1" t="s">
        <v>1128</v>
      </c>
      <c r="P206" s="1" t="s">
        <v>258</v>
      </c>
      <c r="Q206" s="1" t="s">
        <v>1526</v>
      </c>
      <c r="R206" s="1" t="s">
        <v>2</v>
      </c>
      <c r="S206" s="1" t="s">
        <v>21</v>
      </c>
      <c r="T206" s="1">
        <v>1</v>
      </c>
      <c r="U206" s="1" t="s">
        <v>67</v>
      </c>
      <c r="V206" s="1" t="s">
        <v>53</v>
      </c>
      <c r="W206" s="1" t="s">
        <v>13</v>
      </c>
      <c r="X206" s="1" t="s">
        <v>1129</v>
      </c>
      <c r="Y206" s="1">
        <v>5.6860000000000001E-2</v>
      </c>
      <c r="Z206" s="1" t="s">
        <v>80</v>
      </c>
      <c r="AA206" s="1" t="s">
        <v>1135</v>
      </c>
      <c r="AB206" s="1" t="s">
        <v>1152</v>
      </c>
      <c r="AC206" s="1" t="s">
        <v>9</v>
      </c>
      <c r="AD206" s="1" t="s">
        <v>9</v>
      </c>
      <c r="AE206" s="1" t="s">
        <v>8</v>
      </c>
      <c r="AF206" s="1" t="s">
        <v>1153</v>
      </c>
      <c r="AG206" s="1" t="s">
        <v>47</v>
      </c>
      <c r="AH206" s="1" t="s">
        <v>26</v>
      </c>
      <c r="AI206" s="1" t="s">
        <v>36</v>
      </c>
      <c r="AJ206" s="1" t="s">
        <v>1133</v>
      </c>
      <c r="AK206" s="1"/>
      <c r="AL206" s="1"/>
      <c r="AM206" s="1"/>
      <c r="AN206" s="1"/>
      <c r="AO206" s="1"/>
      <c r="AP206" s="1"/>
      <c r="AQ206" s="1" t="s">
        <v>2</v>
      </c>
      <c r="AR206" s="1" t="s">
        <v>1</v>
      </c>
      <c r="AS206" s="1">
        <v>0.61</v>
      </c>
      <c r="AT206" s="1">
        <v>0.19</v>
      </c>
      <c r="AU206" s="1">
        <v>1.94</v>
      </c>
      <c r="AV206" s="1" t="s">
        <v>1</v>
      </c>
      <c r="AW206" s="1">
        <v>0.61</v>
      </c>
      <c r="AX206" s="1">
        <v>0.19</v>
      </c>
      <c r="AY206" s="1">
        <v>1.94</v>
      </c>
      <c r="AZ206" s="1" t="s">
        <v>669</v>
      </c>
      <c r="BA206" s="1" t="s">
        <v>0</v>
      </c>
      <c r="BB206" s="1"/>
      <c r="BC206" s="1"/>
      <c r="BD206" s="1"/>
      <c r="BE206" s="1" t="s">
        <v>0</v>
      </c>
      <c r="BF206" s="1" t="s">
        <v>0</v>
      </c>
    </row>
    <row r="207" spans="1:58" x14ac:dyDescent="0.25">
      <c r="A207" s="1" t="s">
        <v>1123</v>
      </c>
      <c r="B207" s="1" t="s">
        <v>1124</v>
      </c>
      <c r="C207" s="1" t="s">
        <v>1125</v>
      </c>
      <c r="D207" s="1">
        <v>2021</v>
      </c>
      <c r="E207" s="1" t="b">
        <v>0</v>
      </c>
      <c r="F207" s="1" t="s">
        <v>1381</v>
      </c>
      <c r="G207" s="1" t="s">
        <v>1380</v>
      </c>
      <c r="H207" s="1" t="s">
        <v>22</v>
      </c>
      <c r="I207" s="1" t="s">
        <v>21</v>
      </c>
      <c r="J207" s="1" t="s">
        <v>20</v>
      </c>
      <c r="K207" s="1" t="s">
        <v>1104</v>
      </c>
      <c r="L207" s="1">
        <v>186</v>
      </c>
      <c r="M207" s="1" t="s">
        <v>18</v>
      </c>
      <c r="N207" s="1" t="s">
        <v>1127</v>
      </c>
      <c r="O207" s="1" t="s">
        <v>1128</v>
      </c>
      <c r="P207" s="1" t="s">
        <v>258</v>
      </c>
      <c r="Q207" s="1" t="s">
        <v>1526</v>
      </c>
      <c r="R207" s="1" t="s">
        <v>2</v>
      </c>
      <c r="S207" s="1" t="s">
        <v>21</v>
      </c>
      <c r="T207" s="1">
        <v>1</v>
      </c>
      <c r="U207" s="1" t="s">
        <v>67</v>
      </c>
      <c r="V207" s="1" t="s">
        <v>53</v>
      </c>
      <c r="W207" s="1" t="s">
        <v>13</v>
      </c>
      <c r="X207" s="1" t="s">
        <v>1129</v>
      </c>
      <c r="Y207" s="1">
        <v>5.6860000000000001E-2</v>
      </c>
      <c r="Z207" s="1" t="s">
        <v>80</v>
      </c>
      <c r="AA207" s="1" t="s">
        <v>1139</v>
      </c>
      <c r="AB207" s="1" t="s">
        <v>1154</v>
      </c>
      <c r="AC207" s="1" t="s">
        <v>9</v>
      </c>
      <c r="AD207" s="1" t="s">
        <v>9</v>
      </c>
      <c r="AE207" s="1" t="s">
        <v>8</v>
      </c>
      <c r="AF207" s="1" t="s">
        <v>78</v>
      </c>
      <c r="AG207" s="1" t="s">
        <v>1155</v>
      </c>
      <c r="AH207" s="1" t="s">
        <v>26</v>
      </c>
      <c r="AI207" s="1" t="s">
        <v>36</v>
      </c>
      <c r="AJ207" s="1" t="s">
        <v>1133</v>
      </c>
      <c r="AK207" s="1"/>
      <c r="AL207" s="1"/>
      <c r="AM207" s="1"/>
      <c r="AN207" s="1"/>
      <c r="AO207" s="1"/>
      <c r="AP207" s="1"/>
      <c r="AQ207" s="1" t="s">
        <v>2</v>
      </c>
      <c r="AR207" s="1" t="s">
        <v>1</v>
      </c>
      <c r="AS207" s="1">
        <v>1.8</v>
      </c>
      <c r="AT207" s="1">
        <v>0.66</v>
      </c>
      <c r="AU207" s="1">
        <v>4.9000000000000004</v>
      </c>
      <c r="AV207" s="1" t="s">
        <v>1</v>
      </c>
      <c r="AW207" s="1">
        <v>1.8</v>
      </c>
      <c r="AX207" s="1">
        <v>0.66</v>
      </c>
      <c r="AY207" s="1">
        <v>4.9000000000000004</v>
      </c>
      <c r="AZ207" s="1" t="s">
        <v>1044</v>
      </c>
      <c r="BA207" s="1" t="s">
        <v>0</v>
      </c>
      <c r="BB207" s="1"/>
      <c r="BC207" s="1"/>
      <c r="BD207" s="1"/>
      <c r="BE207" s="1" t="s">
        <v>0</v>
      </c>
      <c r="BF207" s="1" t="s">
        <v>0</v>
      </c>
    </row>
    <row r="208" spans="1:58" x14ac:dyDescent="0.25">
      <c r="A208" s="1" t="s">
        <v>1123</v>
      </c>
      <c r="B208" s="1" t="s">
        <v>1124</v>
      </c>
      <c r="C208" s="1" t="s">
        <v>1125</v>
      </c>
      <c r="D208" s="1">
        <v>2021</v>
      </c>
      <c r="E208" s="1" t="b">
        <v>0</v>
      </c>
      <c r="F208" s="1" t="s">
        <v>1381</v>
      </c>
      <c r="G208" s="1" t="s">
        <v>1380</v>
      </c>
      <c r="H208" s="1" t="s">
        <v>22</v>
      </c>
      <c r="I208" s="1" t="s">
        <v>21</v>
      </c>
      <c r="J208" s="1" t="s">
        <v>20</v>
      </c>
      <c r="K208" s="1" t="s">
        <v>1126</v>
      </c>
      <c r="L208" s="1">
        <v>283</v>
      </c>
      <c r="M208" s="1" t="s">
        <v>18</v>
      </c>
      <c r="N208" s="1" t="s">
        <v>1127</v>
      </c>
      <c r="O208" s="1" t="s">
        <v>1128</v>
      </c>
      <c r="P208" s="1" t="s">
        <v>258</v>
      </c>
      <c r="Q208" s="1" t="s">
        <v>1526</v>
      </c>
      <c r="R208" s="1" t="s">
        <v>35</v>
      </c>
      <c r="S208" s="1" t="s">
        <v>21</v>
      </c>
      <c r="T208" s="1">
        <v>2</v>
      </c>
      <c r="U208" s="1" t="s">
        <v>67</v>
      </c>
      <c r="V208" s="1" t="s">
        <v>53</v>
      </c>
      <c r="W208" s="1" t="s">
        <v>13</v>
      </c>
      <c r="X208" s="1" t="s">
        <v>1129</v>
      </c>
      <c r="Y208" s="1">
        <v>5.6860000000000001E-2</v>
      </c>
      <c r="Z208" s="1" t="s">
        <v>11</v>
      </c>
      <c r="AA208" s="1" t="s">
        <v>1130</v>
      </c>
      <c r="AB208" s="1" t="s">
        <v>1499</v>
      </c>
      <c r="AC208" s="1" t="s">
        <v>9</v>
      </c>
      <c r="AD208" s="1" t="s">
        <v>9</v>
      </c>
      <c r="AE208" s="1" t="s">
        <v>8</v>
      </c>
      <c r="AF208" s="1" t="s">
        <v>87</v>
      </c>
      <c r="AG208" s="1" t="s">
        <v>1132</v>
      </c>
      <c r="AH208" s="1" t="s">
        <v>26</v>
      </c>
      <c r="AI208" s="1" t="s">
        <v>36</v>
      </c>
      <c r="AJ208" s="1" t="s">
        <v>1133</v>
      </c>
      <c r="AK208" s="1"/>
      <c r="AL208" s="1"/>
      <c r="AM208" s="1"/>
      <c r="AN208" s="1"/>
      <c r="AO208" s="1"/>
      <c r="AP208" s="1"/>
      <c r="AQ208" s="1" t="s">
        <v>2</v>
      </c>
      <c r="AR208" s="1" t="s">
        <v>1</v>
      </c>
      <c r="AS208" s="1">
        <v>1.1200000000000001</v>
      </c>
      <c r="AT208" s="1">
        <v>0.38</v>
      </c>
      <c r="AU208" s="1">
        <v>3.28</v>
      </c>
      <c r="AV208" s="1" t="s">
        <v>1</v>
      </c>
      <c r="AW208" s="1">
        <v>1.1200000000000001</v>
      </c>
      <c r="AX208" s="1">
        <v>0.38</v>
      </c>
      <c r="AY208" s="1">
        <v>3.28</v>
      </c>
      <c r="AZ208" s="1" t="s">
        <v>1134</v>
      </c>
      <c r="BA208" s="1" t="s">
        <v>0</v>
      </c>
      <c r="BB208" s="1"/>
      <c r="BC208" s="1"/>
      <c r="BD208" s="1"/>
      <c r="BE208" s="1" t="s">
        <v>0</v>
      </c>
      <c r="BF208" s="1" t="s">
        <v>0</v>
      </c>
    </row>
    <row r="209" spans="1:58" x14ac:dyDescent="0.25">
      <c r="A209" s="1" t="s">
        <v>1123</v>
      </c>
      <c r="B209" s="1" t="s">
        <v>1124</v>
      </c>
      <c r="C209" s="1" t="s">
        <v>1125</v>
      </c>
      <c r="D209" s="1">
        <v>2021</v>
      </c>
      <c r="E209" s="1" t="b">
        <v>0</v>
      </c>
      <c r="F209" s="1" t="s">
        <v>1381</v>
      </c>
      <c r="G209" s="1" t="s">
        <v>1380</v>
      </c>
      <c r="H209" s="1" t="s">
        <v>22</v>
      </c>
      <c r="I209" s="1" t="s">
        <v>21</v>
      </c>
      <c r="J209" s="1" t="s">
        <v>20</v>
      </c>
      <c r="K209" s="1" t="s">
        <v>1104</v>
      </c>
      <c r="L209" s="1">
        <v>186</v>
      </c>
      <c r="M209" s="1" t="s">
        <v>18</v>
      </c>
      <c r="N209" s="1" t="s">
        <v>1127</v>
      </c>
      <c r="O209" s="1" t="s">
        <v>1128</v>
      </c>
      <c r="P209" s="1" t="s">
        <v>258</v>
      </c>
      <c r="Q209" s="1" t="s">
        <v>1526</v>
      </c>
      <c r="R209" s="1" t="s">
        <v>2</v>
      </c>
      <c r="S209" s="1" t="s">
        <v>21</v>
      </c>
      <c r="T209" s="1">
        <v>1</v>
      </c>
      <c r="U209" s="1" t="s">
        <v>67</v>
      </c>
      <c r="V209" s="1" t="s">
        <v>53</v>
      </c>
      <c r="W209" s="1" t="s">
        <v>13</v>
      </c>
      <c r="X209" s="1" t="s">
        <v>1129</v>
      </c>
      <c r="Y209" s="1">
        <v>5.6860000000000001E-2</v>
      </c>
      <c r="Z209" s="1" t="s">
        <v>11</v>
      </c>
      <c r="AA209" s="1" t="s">
        <v>1148</v>
      </c>
      <c r="AB209" s="1" t="s">
        <v>1149</v>
      </c>
      <c r="AC209" s="1" t="s">
        <v>9</v>
      </c>
      <c r="AD209" s="1" t="s">
        <v>9</v>
      </c>
      <c r="AE209" s="1" t="s">
        <v>8</v>
      </c>
      <c r="AF209" s="1" t="s">
        <v>185</v>
      </c>
      <c r="AG209" s="1" t="s">
        <v>1150</v>
      </c>
      <c r="AH209" s="1" t="s">
        <v>26</v>
      </c>
      <c r="AI209" s="1" t="s">
        <v>36</v>
      </c>
      <c r="AJ209" s="1" t="s">
        <v>1133</v>
      </c>
      <c r="AK209" s="1"/>
      <c r="AL209" s="1"/>
      <c r="AM209" s="1"/>
      <c r="AN209" s="1"/>
      <c r="AO209" s="1"/>
      <c r="AP209" s="1"/>
      <c r="AQ209" s="1" t="s">
        <v>35</v>
      </c>
      <c r="AR209" s="1" t="s">
        <v>1</v>
      </c>
      <c r="AS209" s="1">
        <v>4.0599999999999996</v>
      </c>
      <c r="AT209" s="1">
        <v>0.68</v>
      </c>
      <c r="AU209" s="1">
        <v>24.19</v>
      </c>
      <c r="AV209" s="1" t="s">
        <v>1</v>
      </c>
      <c r="AW209" s="1">
        <v>3.26</v>
      </c>
      <c r="AX209" s="1">
        <v>1.17</v>
      </c>
      <c r="AY209" s="1">
        <v>9.0500000000000007</v>
      </c>
      <c r="AZ209" s="1" t="s">
        <v>770</v>
      </c>
      <c r="BA209" s="1" t="s">
        <v>1</v>
      </c>
      <c r="BB209" s="1">
        <v>4.0599999999999996</v>
      </c>
      <c r="BC209" s="1">
        <v>0.68</v>
      </c>
      <c r="BD209" s="1">
        <v>24.19</v>
      </c>
      <c r="BE209" s="1" t="s">
        <v>1151</v>
      </c>
      <c r="BF209" s="1" t="s">
        <v>0</v>
      </c>
    </row>
    <row r="210" spans="1:58" x14ac:dyDescent="0.25">
      <c r="A210" s="1" t="s">
        <v>1123</v>
      </c>
      <c r="B210" s="1" t="s">
        <v>1124</v>
      </c>
      <c r="C210" s="1" t="s">
        <v>1125</v>
      </c>
      <c r="D210" s="1">
        <v>2021</v>
      </c>
      <c r="E210" s="1" t="b">
        <v>0</v>
      </c>
      <c r="F210" s="1" t="s">
        <v>1381</v>
      </c>
      <c r="G210" s="1" t="s">
        <v>1380</v>
      </c>
      <c r="H210" s="1" t="s">
        <v>22</v>
      </c>
      <c r="I210" s="1" t="s">
        <v>21</v>
      </c>
      <c r="J210" s="1" t="s">
        <v>20</v>
      </c>
      <c r="K210" s="1" t="s">
        <v>1104</v>
      </c>
      <c r="L210" s="1">
        <v>186</v>
      </c>
      <c r="M210" s="1" t="s">
        <v>18</v>
      </c>
      <c r="N210" s="1" t="s">
        <v>1127</v>
      </c>
      <c r="O210" s="1" t="s">
        <v>1128</v>
      </c>
      <c r="P210" s="1" t="s">
        <v>258</v>
      </c>
      <c r="Q210" s="1" t="s">
        <v>1526</v>
      </c>
      <c r="R210" s="1" t="s">
        <v>35</v>
      </c>
      <c r="S210" s="1" t="s">
        <v>21</v>
      </c>
      <c r="T210" s="1">
        <v>2</v>
      </c>
      <c r="U210" s="1" t="s">
        <v>67</v>
      </c>
      <c r="V210" s="1" t="s">
        <v>53</v>
      </c>
      <c r="W210" s="1" t="s">
        <v>13</v>
      </c>
      <c r="X210" s="1" t="s">
        <v>1129</v>
      </c>
      <c r="Y210" s="1">
        <v>5.6860000000000001E-2</v>
      </c>
      <c r="Z210" s="1" t="s">
        <v>11</v>
      </c>
      <c r="AA210" s="1" t="s">
        <v>1130</v>
      </c>
      <c r="AB210" s="1" t="s">
        <v>1131</v>
      </c>
      <c r="AC210" s="1" t="s">
        <v>9</v>
      </c>
      <c r="AD210" s="1" t="s">
        <v>9</v>
      </c>
      <c r="AE210" s="1" t="s">
        <v>8</v>
      </c>
      <c r="AF210" s="1" t="s">
        <v>528</v>
      </c>
      <c r="AG210" s="1" t="s">
        <v>1156</v>
      </c>
      <c r="AH210" s="1" t="s">
        <v>26</v>
      </c>
      <c r="AI210" s="1" t="s">
        <v>36</v>
      </c>
      <c r="AJ210" s="1" t="s">
        <v>1133</v>
      </c>
      <c r="AK210" s="1"/>
      <c r="AL210" s="1"/>
      <c r="AM210" s="1"/>
      <c r="AN210" s="1"/>
      <c r="AO210" s="1"/>
      <c r="AP210" s="1"/>
      <c r="AQ210" s="1" t="s">
        <v>35</v>
      </c>
      <c r="AR210" s="1" t="s">
        <v>1</v>
      </c>
      <c r="AS210" s="1">
        <v>0.92</v>
      </c>
      <c r="AT210" s="1">
        <v>0.12</v>
      </c>
      <c r="AU210" s="1">
        <v>6.75</v>
      </c>
      <c r="AV210" s="1" t="s">
        <v>1</v>
      </c>
      <c r="AW210" s="1">
        <v>3.98</v>
      </c>
      <c r="AX210" s="1">
        <v>1.25</v>
      </c>
      <c r="AY210" s="1">
        <v>12.17</v>
      </c>
      <c r="AZ210" s="1" t="s">
        <v>770</v>
      </c>
      <c r="BA210" s="1" t="s">
        <v>1</v>
      </c>
      <c r="BB210" s="1">
        <v>0.92</v>
      </c>
      <c r="BC210" s="1">
        <v>0.12</v>
      </c>
      <c r="BD210" s="1">
        <v>6.75</v>
      </c>
      <c r="BE210" s="1" t="s">
        <v>1157</v>
      </c>
      <c r="BF210" s="1" t="s">
        <v>0</v>
      </c>
    </row>
    <row r="211" spans="1:58" x14ac:dyDescent="0.25">
      <c r="A211" s="1" t="s">
        <v>1158</v>
      </c>
      <c r="B211" s="1" t="s">
        <v>1159</v>
      </c>
      <c r="C211" s="1" t="s">
        <v>1160</v>
      </c>
      <c r="D211" s="1">
        <v>2022</v>
      </c>
      <c r="E211" s="1" t="b">
        <v>0</v>
      </c>
      <c r="F211" s="1" t="s">
        <v>1381</v>
      </c>
      <c r="G211" s="1" t="s">
        <v>1381</v>
      </c>
      <c r="H211" s="1" t="s">
        <v>22</v>
      </c>
      <c r="I211" s="1" t="s">
        <v>21</v>
      </c>
      <c r="J211" s="1" t="s">
        <v>20</v>
      </c>
      <c r="K211" s="1" t="s">
        <v>1161</v>
      </c>
      <c r="L211" s="1" t="s">
        <v>1161</v>
      </c>
      <c r="M211" s="1" t="s">
        <v>148</v>
      </c>
      <c r="N211" s="1" t="s">
        <v>485</v>
      </c>
      <c r="O211" s="1" t="s">
        <v>42</v>
      </c>
      <c r="P211" s="1" t="s">
        <v>133</v>
      </c>
      <c r="Q211" s="1" t="s">
        <v>1527</v>
      </c>
      <c r="R211" s="1" t="s">
        <v>2</v>
      </c>
      <c r="S211" s="1" t="s">
        <v>21</v>
      </c>
      <c r="T211" s="1">
        <v>0</v>
      </c>
      <c r="U211" s="1" t="s">
        <v>112</v>
      </c>
      <c r="V211" s="1" t="s">
        <v>53</v>
      </c>
      <c r="W211" s="1" t="s">
        <v>13</v>
      </c>
      <c r="X211" s="1" t="s">
        <v>57</v>
      </c>
      <c r="Y211" s="1" t="s">
        <v>57</v>
      </c>
      <c r="Z211" s="1" t="s">
        <v>513</v>
      </c>
      <c r="AA211" s="1" t="s">
        <v>1164</v>
      </c>
      <c r="AB211" s="1" t="s">
        <v>1165</v>
      </c>
      <c r="AC211" s="1" t="s">
        <v>14</v>
      </c>
      <c r="AD211" s="1" t="s">
        <v>53</v>
      </c>
      <c r="AE211" s="1" t="s">
        <v>74</v>
      </c>
      <c r="AF211" s="1">
        <v>279</v>
      </c>
      <c r="AG211" s="1">
        <v>0.47773972599999998</v>
      </c>
      <c r="AH211" s="1" t="s">
        <v>26</v>
      </c>
      <c r="AI211" s="1" t="s">
        <v>56</v>
      </c>
      <c r="AJ211" s="1" t="s">
        <v>1163</v>
      </c>
      <c r="AK211" s="1"/>
      <c r="AL211" s="1"/>
      <c r="AM211" s="1"/>
      <c r="AN211" s="1"/>
      <c r="AO211" s="1" t="s">
        <v>9</v>
      </c>
      <c r="AP211" s="1" t="s">
        <v>9</v>
      </c>
      <c r="AQ211" s="1" t="s">
        <v>2</v>
      </c>
      <c r="AR211" s="1" t="s">
        <v>1</v>
      </c>
      <c r="AS211" s="1">
        <v>2.42</v>
      </c>
      <c r="AT211" s="1">
        <v>1.68</v>
      </c>
      <c r="AU211" s="1">
        <v>3.49</v>
      </c>
      <c r="AV211" s="1" t="s">
        <v>1</v>
      </c>
      <c r="AW211" s="1">
        <v>2.42</v>
      </c>
      <c r="AX211" s="1">
        <v>1.68</v>
      </c>
      <c r="AY211" s="1">
        <v>3.49</v>
      </c>
      <c r="AZ211" s="1" t="s">
        <v>60</v>
      </c>
      <c r="BA211" s="1" t="s">
        <v>0</v>
      </c>
      <c r="BB211" s="1"/>
      <c r="BC211" s="1"/>
      <c r="BD211" s="1"/>
      <c r="BE211" s="1" t="s">
        <v>0</v>
      </c>
      <c r="BF211" s="1" t="s">
        <v>0</v>
      </c>
    </row>
    <row r="212" spans="1:58" x14ac:dyDescent="0.25">
      <c r="A212" s="1" t="s">
        <v>1158</v>
      </c>
      <c r="B212" s="1" t="s">
        <v>1159</v>
      </c>
      <c r="C212" s="1" t="s">
        <v>1160</v>
      </c>
      <c r="D212" s="1">
        <v>2022</v>
      </c>
      <c r="E212" s="1" t="b">
        <v>0</v>
      </c>
      <c r="F212" s="1" t="s">
        <v>1381</v>
      </c>
      <c r="G212" s="1" t="s">
        <v>1381</v>
      </c>
      <c r="H212" s="1" t="s">
        <v>22</v>
      </c>
      <c r="I212" s="1" t="s">
        <v>21</v>
      </c>
      <c r="J212" s="1" t="s">
        <v>20</v>
      </c>
      <c r="K212" s="1" t="s">
        <v>1161</v>
      </c>
      <c r="L212" s="1" t="s">
        <v>1161</v>
      </c>
      <c r="M212" s="1" t="s">
        <v>148</v>
      </c>
      <c r="N212" s="1" t="s">
        <v>485</v>
      </c>
      <c r="O212" s="1" t="s">
        <v>42</v>
      </c>
      <c r="P212" s="1" t="s">
        <v>133</v>
      </c>
      <c r="Q212" s="1" t="s">
        <v>1527</v>
      </c>
      <c r="R212" s="1" t="s">
        <v>2</v>
      </c>
      <c r="S212" s="1" t="s">
        <v>21</v>
      </c>
      <c r="T212" s="1">
        <v>0</v>
      </c>
      <c r="U212" s="1" t="s">
        <v>112</v>
      </c>
      <c r="V212" s="1" t="s">
        <v>53</v>
      </c>
      <c r="W212" s="1" t="s">
        <v>13</v>
      </c>
      <c r="X212" s="1" t="s">
        <v>57</v>
      </c>
      <c r="Y212" s="1" t="s">
        <v>57</v>
      </c>
      <c r="Z212" s="1" t="s">
        <v>11</v>
      </c>
      <c r="AA212" s="1" t="s">
        <v>1162</v>
      </c>
      <c r="AB212" s="1" t="s">
        <v>1162</v>
      </c>
      <c r="AC212" s="1" t="s">
        <v>14</v>
      </c>
      <c r="AD212" s="1" t="s">
        <v>53</v>
      </c>
      <c r="AE212" s="1" t="s">
        <v>74</v>
      </c>
      <c r="AF212" s="1">
        <v>92</v>
      </c>
      <c r="AG212" s="1">
        <v>0.15753424699999999</v>
      </c>
      <c r="AH212" s="1" t="s">
        <v>26</v>
      </c>
      <c r="AI212" s="1" t="s">
        <v>56</v>
      </c>
      <c r="AJ212" s="1" t="s">
        <v>1163</v>
      </c>
      <c r="AK212" s="1"/>
      <c r="AL212" s="1"/>
      <c r="AM212" s="1"/>
      <c r="AN212" s="1"/>
      <c r="AO212" s="1" t="s">
        <v>9</v>
      </c>
      <c r="AP212" s="1" t="s">
        <v>9</v>
      </c>
      <c r="AQ212" s="1" t="s">
        <v>2</v>
      </c>
      <c r="AR212" s="1" t="s">
        <v>1</v>
      </c>
      <c r="AS212" s="1">
        <v>1.68</v>
      </c>
      <c r="AT212" s="1">
        <v>1.02</v>
      </c>
      <c r="AU212" s="1">
        <v>2.74</v>
      </c>
      <c r="AV212" s="1" t="s">
        <v>1</v>
      </c>
      <c r="AW212" s="1">
        <v>1.68</v>
      </c>
      <c r="AX212" s="1">
        <v>1.02</v>
      </c>
      <c r="AY212" s="1">
        <v>2.74</v>
      </c>
      <c r="AZ212" s="1">
        <v>4.1000000000000002E-2</v>
      </c>
      <c r="BA212" s="1" t="s">
        <v>0</v>
      </c>
      <c r="BB212" s="1"/>
      <c r="BC212" s="1"/>
      <c r="BD212" s="1"/>
      <c r="BE212" s="1" t="s">
        <v>0</v>
      </c>
      <c r="BF212" s="1" t="s">
        <v>0</v>
      </c>
    </row>
    <row r="213" spans="1:58" x14ac:dyDescent="0.25">
      <c r="A213" s="1" t="s">
        <v>1166</v>
      </c>
      <c r="B213" s="1" t="s">
        <v>1167</v>
      </c>
      <c r="C213" s="1" t="s">
        <v>1168</v>
      </c>
      <c r="D213" s="1">
        <v>2016</v>
      </c>
      <c r="E213" s="1" t="b">
        <v>0</v>
      </c>
      <c r="F213" s="1" t="s">
        <v>1380</v>
      </c>
      <c r="G213" s="1" t="s">
        <v>1380</v>
      </c>
      <c r="H213" s="1" t="s">
        <v>22</v>
      </c>
      <c r="I213" s="1" t="s">
        <v>452</v>
      </c>
      <c r="J213" s="1" t="s">
        <v>20</v>
      </c>
      <c r="K213" s="1" t="s">
        <v>1169</v>
      </c>
      <c r="L213" s="1" t="s">
        <v>1169</v>
      </c>
      <c r="M213" s="1" t="s">
        <v>148</v>
      </c>
      <c r="N213" s="1" t="s">
        <v>277</v>
      </c>
      <c r="O213" s="1" t="s">
        <v>276</v>
      </c>
      <c r="P213" s="1" t="s">
        <v>15</v>
      </c>
      <c r="Q213" s="1" t="s">
        <v>1527</v>
      </c>
      <c r="R213" s="1" t="s">
        <v>35</v>
      </c>
      <c r="S213" s="1" t="s">
        <v>1528</v>
      </c>
      <c r="T213" s="1">
        <v>2</v>
      </c>
      <c r="U213" s="1" t="s">
        <v>41</v>
      </c>
      <c r="V213" s="1" t="s">
        <v>53</v>
      </c>
      <c r="W213" s="1" t="s">
        <v>13</v>
      </c>
      <c r="X213" s="1" t="s">
        <v>1169</v>
      </c>
      <c r="Y213" s="1" t="s">
        <v>13</v>
      </c>
      <c r="Z213" s="1" t="s">
        <v>39</v>
      </c>
      <c r="AA213" s="1" t="s">
        <v>860</v>
      </c>
      <c r="AB213" s="1" t="s">
        <v>860</v>
      </c>
      <c r="AC213" s="1" t="s">
        <v>41</v>
      </c>
      <c r="AD213" s="1" t="s">
        <v>53</v>
      </c>
      <c r="AE213" s="1" t="s">
        <v>160</v>
      </c>
      <c r="AF213" s="1" t="s">
        <v>1170</v>
      </c>
      <c r="AG213" s="1" t="s">
        <v>1171</v>
      </c>
      <c r="AH213" s="1" t="s">
        <v>6</v>
      </c>
      <c r="AI213" s="1" t="s">
        <v>523</v>
      </c>
      <c r="AJ213" s="1" t="s">
        <v>1172</v>
      </c>
      <c r="AK213" s="1" t="s">
        <v>523</v>
      </c>
      <c r="AL213" s="1" t="s">
        <v>1173</v>
      </c>
      <c r="AM213" s="1" t="s">
        <v>26</v>
      </c>
      <c r="AN213" s="1"/>
      <c r="AO213" s="1"/>
      <c r="AP213" s="1"/>
      <c r="AQ213" s="1" t="s">
        <v>35</v>
      </c>
      <c r="AR213" s="1" t="s">
        <v>1</v>
      </c>
      <c r="AS213" s="10">
        <v>0.63291139240506322</v>
      </c>
      <c r="AT213" s="10">
        <v>0.21097046413502107</v>
      </c>
      <c r="AU213" s="10">
        <v>1.9230769230769229</v>
      </c>
      <c r="AV213" s="1" t="s">
        <v>1</v>
      </c>
      <c r="AW213" s="1">
        <v>0.51300000000000001</v>
      </c>
      <c r="AX213" s="1">
        <v>0.18210000000000001</v>
      </c>
      <c r="AY213" s="1">
        <v>1.4450000000000001</v>
      </c>
      <c r="AZ213" s="1" t="s">
        <v>0</v>
      </c>
      <c r="BA213" s="1" t="s">
        <v>654</v>
      </c>
      <c r="BB213" s="1">
        <v>0.63291139240506322</v>
      </c>
      <c r="BC213" s="1">
        <v>0.21097046413502107</v>
      </c>
      <c r="BD213" s="1">
        <v>1.9230769230769229</v>
      </c>
      <c r="BE213" s="1" t="s">
        <v>0</v>
      </c>
      <c r="BF213" s="1" t="s">
        <v>0</v>
      </c>
    </row>
    <row r="214" spans="1:58" x14ac:dyDescent="0.25">
      <c r="A214" s="1" t="s">
        <v>1166</v>
      </c>
      <c r="B214" s="1" t="s">
        <v>1167</v>
      </c>
      <c r="C214" s="1" t="s">
        <v>1168</v>
      </c>
      <c r="D214" s="1">
        <v>2016</v>
      </c>
      <c r="E214" s="1" t="b">
        <v>0</v>
      </c>
      <c r="F214" s="1" t="s">
        <v>1380</v>
      </c>
      <c r="G214" s="1" t="s">
        <v>1380</v>
      </c>
      <c r="H214" s="1" t="s">
        <v>22</v>
      </c>
      <c r="I214" s="1" t="s">
        <v>452</v>
      </c>
      <c r="J214" s="1" t="s">
        <v>20</v>
      </c>
      <c r="K214" s="1" t="s">
        <v>1169</v>
      </c>
      <c r="L214" s="1" t="s">
        <v>1169</v>
      </c>
      <c r="M214" s="1" t="s">
        <v>148</v>
      </c>
      <c r="N214" s="1" t="s">
        <v>277</v>
      </c>
      <c r="O214" s="1" t="s">
        <v>276</v>
      </c>
      <c r="P214" s="1" t="s">
        <v>15</v>
      </c>
      <c r="Q214" s="1" t="s">
        <v>1527</v>
      </c>
      <c r="R214" s="1" t="s">
        <v>35</v>
      </c>
      <c r="S214" s="1" t="s">
        <v>1528</v>
      </c>
      <c r="T214" s="1">
        <v>2</v>
      </c>
      <c r="U214" s="1" t="s">
        <v>41</v>
      </c>
      <c r="V214" s="1" t="s">
        <v>53</v>
      </c>
      <c r="W214" s="1" t="s">
        <v>13</v>
      </c>
      <c r="X214" s="1" t="s">
        <v>1169</v>
      </c>
      <c r="Y214" s="1" t="s">
        <v>13</v>
      </c>
      <c r="Z214" s="1" t="s">
        <v>39</v>
      </c>
      <c r="AA214" s="1" t="s">
        <v>860</v>
      </c>
      <c r="AB214" s="1" t="s">
        <v>860</v>
      </c>
      <c r="AC214" s="1" t="s">
        <v>41</v>
      </c>
      <c r="AD214" s="1" t="s">
        <v>53</v>
      </c>
      <c r="AE214" s="1" t="s">
        <v>160</v>
      </c>
      <c r="AF214" s="1" t="s">
        <v>1170</v>
      </c>
      <c r="AG214" s="1" t="s">
        <v>1171</v>
      </c>
      <c r="AH214" s="1" t="s">
        <v>26</v>
      </c>
      <c r="AI214" s="1" t="s">
        <v>523</v>
      </c>
      <c r="AJ214" s="1" t="s">
        <v>1174</v>
      </c>
      <c r="AK214" s="1" t="s">
        <v>523</v>
      </c>
      <c r="AL214" s="1" t="s">
        <v>1175</v>
      </c>
      <c r="AM214" s="1" t="s">
        <v>26</v>
      </c>
      <c r="AN214" s="1"/>
      <c r="AO214" s="1"/>
      <c r="AP214" s="1"/>
      <c r="AQ214" s="1" t="s">
        <v>35</v>
      </c>
      <c r="AR214" s="1" t="s">
        <v>1</v>
      </c>
      <c r="AS214" s="10">
        <v>1.1904761904761905</v>
      </c>
      <c r="AT214" s="10">
        <v>0.87719298245614041</v>
      </c>
      <c r="AU214" s="10">
        <v>1.639344262295082</v>
      </c>
      <c r="AV214" s="1" t="s">
        <v>1</v>
      </c>
      <c r="AW214" s="1">
        <v>1.1757</v>
      </c>
      <c r="AX214" s="1">
        <v>0.9093</v>
      </c>
      <c r="AY214" s="1">
        <v>1.5201</v>
      </c>
      <c r="AZ214" s="1" t="s">
        <v>0</v>
      </c>
      <c r="BA214" s="1" t="s">
        <v>654</v>
      </c>
      <c r="BB214" s="1">
        <v>1.1904761904761905</v>
      </c>
      <c r="BC214" s="1">
        <v>0.87719298245614041</v>
      </c>
      <c r="BD214" s="1">
        <v>1.639344262295082</v>
      </c>
      <c r="BE214" s="1" t="s">
        <v>0</v>
      </c>
      <c r="BF214" s="1" t="s">
        <v>0</v>
      </c>
    </row>
    <row r="215" spans="1:58" x14ac:dyDescent="0.25">
      <c r="A215" s="1" t="s">
        <v>1166</v>
      </c>
      <c r="B215" s="1" t="s">
        <v>1167</v>
      </c>
      <c r="C215" s="1" t="s">
        <v>1168</v>
      </c>
      <c r="D215" s="1">
        <v>2016</v>
      </c>
      <c r="E215" s="1" t="b">
        <v>0</v>
      </c>
      <c r="F215" s="1" t="s">
        <v>1380</v>
      </c>
      <c r="G215" s="1" t="s">
        <v>1380</v>
      </c>
      <c r="H215" s="1" t="s">
        <v>22</v>
      </c>
      <c r="I215" s="1" t="s">
        <v>452</v>
      </c>
      <c r="J215" s="1" t="s">
        <v>20</v>
      </c>
      <c r="K215" s="1" t="s">
        <v>1169</v>
      </c>
      <c r="L215" s="1" t="s">
        <v>1169</v>
      </c>
      <c r="M215" s="1" t="s">
        <v>148</v>
      </c>
      <c r="N215" s="1" t="s">
        <v>277</v>
      </c>
      <c r="O215" s="1" t="s">
        <v>276</v>
      </c>
      <c r="P215" s="1" t="s">
        <v>15</v>
      </c>
      <c r="Q215" s="1" t="s">
        <v>1527</v>
      </c>
      <c r="R215" s="1" t="s">
        <v>35</v>
      </c>
      <c r="S215" s="1" t="s">
        <v>1528</v>
      </c>
      <c r="T215" s="1">
        <v>2</v>
      </c>
      <c r="U215" s="1" t="s">
        <v>41</v>
      </c>
      <c r="V215" s="1" t="s">
        <v>53</v>
      </c>
      <c r="W215" s="1" t="s">
        <v>13</v>
      </c>
      <c r="X215" s="1" t="s">
        <v>1169</v>
      </c>
      <c r="Y215" s="1" t="s">
        <v>13</v>
      </c>
      <c r="Z215" s="1" t="s">
        <v>39</v>
      </c>
      <c r="AA215" s="1" t="s">
        <v>860</v>
      </c>
      <c r="AB215" s="1" t="s">
        <v>860</v>
      </c>
      <c r="AC215" s="1" t="s">
        <v>41</v>
      </c>
      <c r="AD215" s="1" t="s">
        <v>53</v>
      </c>
      <c r="AE215" s="1" t="s">
        <v>160</v>
      </c>
      <c r="AF215" s="1" t="s">
        <v>1170</v>
      </c>
      <c r="AG215" s="1" t="s">
        <v>1171</v>
      </c>
      <c r="AH215" s="1" t="s">
        <v>6</v>
      </c>
      <c r="AI215" s="1" t="s">
        <v>5</v>
      </c>
      <c r="AJ215" s="1" t="s">
        <v>1176</v>
      </c>
      <c r="AK215" s="1"/>
      <c r="AL215" s="1"/>
      <c r="AM215" s="1"/>
      <c r="AN215" s="1" t="s">
        <v>3</v>
      </c>
      <c r="AO215" s="1"/>
      <c r="AP215" s="1"/>
      <c r="AQ215" s="1" t="s">
        <v>35</v>
      </c>
      <c r="AR215" s="1" t="s">
        <v>1</v>
      </c>
      <c r="AS215" s="10">
        <v>4.7619047619047619</v>
      </c>
      <c r="AT215" s="10">
        <v>1.1904761904761905</v>
      </c>
      <c r="AU215" s="10">
        <v>20</v>
      </c>
      <c r="AV215" s="1" t="s">
        <v>1</v>
      </c>
      <c r="AW215" s="1">
        <v>4.4165000000000001</v>
      </c>
      <c r="AX215" s="1">
        <v>1.3561000000000001</v>
      </c>
      <c r="AY215" s="1">
        <v>14.3828</v>
      </c>
      <c r="AZ215" s="1" t="s">
        <v>0</v>
      </c>
      <c r="BA215" s="1" t="s">
        <v>654</v>
      </c>
      <c r="BB215" s="1">
        <v>4.7619047619047619</v>
      </c>
      <c r="BC215" s="1">
        <v>1.1904761904761905</v>
      </c>
      <c r="BD215" s="1">
        <v>20</v>
      </c>
      <c r="BE215" s="1" t="s">
        <v>0</v>
      </c>
      <c r="BF215" s="1" t="s">
        <v>0</v>
      </c>
    </row>
    <row r="216" spans="1:58" x14ac:dyDescent="0.25">
      <c r="A216" s="1" t="s">
        <v>1177</v>
      </c>
      <c r="B216" s="1" t="s">
        <v>1178</v>
      </c>
      <c r="C216" s="1" t="s">
        <v>1168</v>
      </c>
      <c r="D216" s="1">
        <v>2016</v>
      </c>
      <c r="E216" s="1" t="b">
        <v>0</v>
      </c>
      <c r="F216" s="1" t="s">
        <v>1380</v>
      </c>
      <c r="G216" s="1" t="s">
        <v>1381</v>
      </c>
      <c r="H216" s="1" t="s">
        <v>22</v>
      </c>
      <c r="I216" s="1" t="s">
        <v>21</v>
      </c>
      <c r="J216" s="1" t="s">
        <v>20</v>
      </c>
      <c r="K216" s="1" t="s">
        <v>1179</v>
      </c>
      <c r="L216" s="1">
        <v>356</v>
      </c>
      <c r="M216" s="1" t="s">
        <v>148</v>
      </c>
      <c r="N216" s="1" t="s">
        <v>277</v>
      </c>
      <c r="O216" s="1" t="s">
        <v>276</v>
      </c>
      <c r="P216" s="1" t="s">
        <v>15</v>
      </c>
      <c r="Q216" s="1" t="s">
        <v>1527</v>
      </c>
      <c r="R216" s="1" t="s">
        <v>2</v>
      </c>
      <c r="S216" s="1" t="s">
        <v>21</v>
      </c>
      <c r="T216" s="1">
        <v>0</v>
      </c>
      <c r="U216" s="1" t="s">
        <v>41</v>
      </c>
      <c r="V216" s="1" t="s">
        <v>53</v>
      </c>
      <c r="W216" s="1" t="s">
        <v>13</v>
      </c>
      <c r="X216" s="1" t="s">
        <v>1179</v>
      </c>
      <c r="Y216" s="1" t="s">
        <v>13</v>
      </c>
      <c r="Z216" s="1" t="s">
        <v>39</v>
      </c>
      <c r="AA216" s="1" t="s">
        <v>860</v>
      </c>
      <c r="AB216" s="1" t="s">
        <v>860</v>
      </c>
      <c r="AC216" s="1" t="s">
        <v>41</v>
      </c>
      <c r="AD216" s="1" t="s">
        <v>53</v>
      </c>
      <c r="AE216" s="1" t="s">
        <v>160</v>
      </c>
      <c r="AF216" s="1" t="s">
        <v>50</v>
      </c>
      <c r="AG216" s="1" t="s">
        <v>1180</v>
      </c>
      <c r="AH216" s="1" t="s">
        <v>26</v>
      </c>
      <c r="AI216" s="1" t="s">
        <v>30</v>
      </c>
      <c r="AJ216" s="1" t="s">
        <v>1181</v>
      </c>
      <c r="AK216" s="1" t="s">
        <v>28</v>
      </c>
      <c r="AL216" s="1" t="s">
        <v>30</v>
      </c>
      <c r="AM216" s="1" t="s">
        <v>26</v>
      </c>
      <c r="AN216" s="1"/>
      <c r="AO216" s="1"/>
      <c r="AP216" s="1"/>
      <c r="AQ216" s="1" t="s">
        <v>2</v>
      </c>
      <c r="AR216" s="1" t="s">
        <v>1</v>
      </c>
      <c r="AS216" s="1">
        <v>0.86</v>
      </c>
      <c r="AT216" s="1">
        <v>0.57999999999999996</v>
      </c>
      <c r="AU216" s="1">
        <v>1.53</v>
      </c>
      <c r="AV216" s="1" t="s">
        <v>1</v>
      </c>
      <c r="AW216" s="1">
        <v>0.86</v>
      </c>
      <c r="AX216" s="1">
        <v>0.57999999999999996</v>
      </c>
      <c r="AY216" s="1">
        <v>1.53</v>
      </c>
      <c r="AZ216" s="1" t="s">
        <v>1182</v>
      </c>
      <c r="BA216" s="1" t="s">
        <v>0</v>
      </c>
      <c r="BB216" s="1"/>
      <c r="BC216" s="1"/>
      <c r="BD216" s="1"/>
      <c r="BE216" s="1" t="s">
        <v>0</v>
      </c>
      <c r="BF216" s="1" t="s">
        <v>0</v>
      </c>
    </row>
    <row r="217" spans="1:58" x14ac:dyDescent="0.25">
      <c r="A217" s="1" t="s">
        <v>1183</v>
      </c>
      <c r="B217" s="1" t="s">
        <v>1184</v>
      </c>
      <c r="C217" s="1" t="s">
        <v>1185</v>
      </c>
      <c r="D217" s="1">
        <v>2013</v>
      </c>
      <c r="E217" s="1" t="b">
        <v>1</v>
      </c>
      <c r="F217" s="1" t="s">
        <v>1380</v>
      </c>
      <c r="G217" s="1" t="s">
        <v>1381</v>
      </c>
      <c r="H217" s="1" t="s">
        <v>22</v>
      </c>
      <c r="I217" s="1" t="s">
        <v>21</v>
      </c>
      <c r="J217" s="1" t="s">
        <v>20</v>
      </c>
      <c r="K217" s="1">
        <v>1814</v>
      </c>
      <c r="L217" s="1" t="s">
        <v>1186</v>
      </c>
      <c r="M217" s="1" t="s">
        <v>148</v>
      </c>
      <c r="N217" s="1" t="s">
        <v>259</v>
      </c>
      <c r="O217" s="1" t="s">
        <v>1187</v>
      </c>
      <c r="P217" s="1" t="s">
        <v>258</v>
      </c>
      <c r="Q217" s="1" t="s">
        <v>1527</v>
      </c>
      <c r="R217" s="1" t="s">
        <v>35</v>
      </c>
      <c r="S217" s="1" t="s">
        <v>21</v>
      </c>
      <c r="T217" s="1">
        <v>1</v>
      </c>
      <c r="U217" s="1" t="s">
        <v>112</v>
      </c>
      <c r="V217" s="1" t="s">
        <v>53</v>
      </c>
      <c r="W217" s="1" t="s">
        <v>13</v>
      </c>
      <c r="X217" s="1" t="s">
        <v>660</v>
      </c>
      <c r="Y217" s="1" t="s">
        <v>77</v>
      </c>
      <c r="Z217" s="1" t="s">
        <v>11</v>
      </c>
      <c r="AA217" s="1" t="s">
        <v>1188</v>
      </c>
      <c r="AB217" s="1" t="s">
        <v>1188</v>
      </c>
      <c r="AC217" s="1" t="s">
        <v>9</v>
      </c>
      <c r="AD217" s="1" t="s">
        <v>9</v>
      </c>
      <c r="AE217" s="1" t="s">
        <v>8</v>
      </c>
      <c r="AF217" s="1" t="s">
        <v>92</v>
      </c>
      <c r="AG217" s="1">
        <v>5.8985666999999999E-2</v>
      </c>
      <c r="AH217" s="1" t="s">
        <v>26</v>
      </c>
      <c r="AI217" s="1" t="s">
        <v>36</v>
      </c>
      <c r="AJ217" s="1" t="s">
        <v>1072</v>
      </c>
      <c r="AK217" s="1"/>
      <c r="AL217" s="1"/>
      <c r="AM217" s="1"/>
      <c r="AN217" s="1"/>
      <c r="AO217" s="1"/>
      <c r="AP217" s="1"/>
      <c r="AQ217" s="1" t="s">
        <v>35</v>
      </c>
      <c r="AR217" s="1" t="s">
        <v>1</v>
      </c>
      <c r="AS217" s="1">
        <v>2.2999999999999998</v>
      </c>
      <c r="AT217" s="1">
        <v>1.08</v>
      </c>
      <c r="AU217" s="1">
        <v>4.9000000000000004</v>
      </c>
      <c r="AV217" s="1" t="s">
        <v>1</v>
      </c>
      <c r="AW217" s="1">
        <v>2.74</v>
      </c>
      <c r="AX217" s="1">
        <v>1.41</v>
      </c>
      <c r="AY217" s="1">
        <v>5.31</v>
      </c>
      <c r="AZ217" s="1" t="s">
        <v>60</v>
      </c>
      <c r="BA217" s="1" t="s">
        <v>1</v>
      </c>
      <c r="BB217" s="1">
        <v>2.2999999999999998</v>
      </c>
      <c r="BC217" s="1">
        <v>1.08</v>
      </c>
      <c r="BD217" s="1">
        <v>4.9000000000000004</v>
      </c>
      <c r="BE217" s="1" t="s">
        <v>0</v>
      </c>
      <c r="BF217" s="1" t="s">
        <v>0</v>
      </c>
    </row>
    <row r="218" spans="1:58" x14ac:dyDescent="0.25">
      <c r="A218" s="1" t="s">
        <v>1189</v>
      </c>
      <c r="B218" s="1" t="s">
        <v>1190</v>
      </c>
      <c r="C218" s="1" t="s">
        <v>1191</v>
      </c>
      <c r="D218" s="1">
        <v>2023</v>
      </c>
      <c r="E218" s="1" t="b">
        <v>0</v>
      </c>
      <c r="F218" s="1" t="s">
        <v>1381</v>
      </c>
      <c r="G218" s="1" t="s">
        <v>1380</v>
      </c>
      <c r="H218" s="1" t="s">
        <v>22</v>
      </c>
      <c r="I218" s="1" t="s">
        <v>21</v>
      </c>
      <c r="J218" s="1" t="s">
        <v>20</v>
      </c>
      <c r="K218" s="1" t="s">
        <v>1192</v>
      </c>
      <c r="L218" s="1" t="s">
        <v>1192</v>
      </c>
      <c r="M218" s="1" t="s">
        <v>148</v>
      </c>
      <c r="N218" s="1" t="s">
        <v>1193</v>
      </c>
      <c r="O218" s="1" t="s">
        <v>1194</v>
      </c>
      <c r="P218" s="1" t="s">
        <v>258</v>
      </c>
      <c r="Q218" s="1" t="s">
        <v>1527</v>
      </c>
      <c r="R218" s="1" t="s">
        <v>2</v>
      </c>
      <c r="S218" s="1" t="s">
        <v>21</v>
      </c>
      <c r="T218" s="1">
        <v>0</v>
      </c>
      <c r="U218" s="1" t="s">
        <v>112</v>
      </c>
      <c r="V218" s="1" t="s">
        <v>53</v>
      </c>
      <c r="W218" s="1" t="s">
        <v>13</v>
      </c>
      <c r="X218" s="1" t="s">
        <v>0</v>
      </c>
      <c r="Y218" s="1" t="s">
        <v>0</v>
      </c>
      <c r="Z218" s="1" t="s">
        <v>39</v>
      </c>
      <c r="AA218" s="1" t="s">
        <v>1195</v>
      </c>
      <c r="AB218" s="1" t="s">
        <v>762</v>
      </c>
      <c r="AC218" s="1" t="s">
        <v>9</v>
      </c>
      <c r="AD218" s="1" t="s">
        <v>9</v>
      </c>
      <c r="AE218" s="1" t="s">
        <v>63</v>
      </c>
      <c r="AF218" s="1" t="s">
        <v>272</v>
      </c>
      <c r="AG218" s="1" t="s">
        <v>1196</v>
      </c>
      <c r="AH218" s="1" t="s">
        <v>6</v>
      </c>
      <c r="AI218" s="1" t="s">
        <v>56</v>
      </c>
      <c r="AJ218" s="1" t="s">
        <v>1197</v>
      </c>
      <c r="AK218" s="1"/>
      <c r="AL218" s="1"/>
      <c r="AM218" s="1"/>
      <c r="AN218" s="1"/>
      <c r="AO218" s="1" t="s">
        <v>1198</v>
      </c>
      <c r="AP218" s="1" t="s">
        <v>53</v>
      </c>
      <c r="AQ218" s="1" t="s">
        <v>2</v>
      </c>
      <c r="AR218" s="1" t="s">
        <v>1</v>
      </c>
      <c r="AS218" s="1">
        <v>2.83</v>
      </c>
      <c r="AT218" s="1">
        <v>1.65</v>
      </c>
      <c r="AU218" s="1">
        <v>4.84</v>
      </c>
      <c r="AV218" s="1" t="s">
        <v>1</v>
      </c>
      <c r="AW218" s="1">
        <v>2.83</v>
      </c>
      <c r="AX218" s="1">
        <v>1.65</v>
      </c>
      <c r="AY218" s="1">
        <v>4.84</v>
      </c>
      <c r="AZ218" s="1" t="s">
        <v>60</v>
      </c>
      <c r="BA218" s="1" t="s">
        <v>0</v>
      </c>
      <c r="BB218" s="1"/>
      <c r="BC218" s="1"/>
      <c r="BD218" s="1"/>
      <c r="BE218" s="1" t="s">
        <v>0</v>
      </c>
      <c r="BF218" s="1" t="s">
        <v>0</v>
      </c>
    </row>
    <row r="219" spans="1:58" x14ac:dyDescent="0.25">
      <c r="A219" s="1" t="s">
        <v>1199</v>
      </c>
      <c r="B219" s="1" t="s">
        <v>1200</v>
      </c>
      <c r="C219" s="1" t="s">
        <v>1201</v>
      </c>
      <c r="D219" s="1">
        <v>2019</v>
      </c>
      <c r="E219" s="1" t="b">
        <v>0</v>
      </c>
      <c r="F219" s="1" t="s">
        <v>1381</v>
      </c>
      <c r="G219" s="1" t="s">
        <v>1380</v>
      </c>
      <c r="H219" s="1" t="s">
        <v>22</v>
      </c>
      <c r="I219" s="1" t="s">
        <v>21</v>
      </c>
      <c r="J219" s="1" t="s">
        <v>20</v>
      </c>
      <c r="K219" s="1" t="s">
        <v>1202</v>
      </c>
      <c r="L219" s="1">
        <v>958</v>
      </c>
      <c r="M219" s="1" t="s">
        <v>278</v>
      </c>
      <c r="N219" s="1" t="s">
        <v>1203</v>
      </c>
      <c r="O219" s="1" t="s">
        <v>42</v>
      </c>
      <c r="P219" s="1" t="s">
        <v>133</v>
      </c>
      <c r="Q219" s="1" t="s">
        <v>1526</v>
      </c>
      <c r="R219" s="1" t="s">
        <v>2</v>
      </c>
      <c r="S219" s="1" t="s">
        <v>21</v>
      </c>
      <c r="T219" s="1">
        <v>1</v>
      </c>
      <c r="U219" s="1" t="s">
        <v>41</v>
      </c>
      <c r="V219" s="1" t="s">
        <v>53</v>
      </c>
      <c r="W219" s="1" t="s">
        <v>13</v>
      </c>
      <c r="X219" s="1" t="s">
        <v>1204</v>
      </c>
      <c r="Y219" s="1">
        <v>7.6999999999999999E-2</v>
      </c>
      <c r="Z219" s="1" t="s">
        <v>11</v>
      </c>
      <c r="AA219" s="1" t="s">
        <v>1210</v>
      </c>
      <c r="AB219" s="1" t="s">
        <v>154</v>
      </c>
      <c r="AC219" s="1" t="s">
        <v>9</v>
      </c>
      <c r="AD219" s="1" t="s">
        <v>9</v>
      </c>
      <c r="AE219" s="1" t="s">
        <v>8</v>
      </c>
      <c r="AF219" s="1" t="s">
        <v>1211</v>
      </c>
      <c r="AG219" s="1" t="s">
        <v>1212</v>
      </c>
      <c r="AH219" s="1" t="s">
        <v>26</v>
      </c>
      <c r="AI219" s="1" t="s">
        <v>36</v>
      </c>
      <c r="AJ219" s="1" t="s">
        <v>1209</v>
      </c>
      <c r="AK219" s="1"/>
      <c r="AL219" s="1"/>
      <c r="AM219" s="1"/>
      <c r="AN219" s="1"/>
      <c r="AO219" s="1"/>
      <c r="AP219" s="1"/>
      <c r="AQ219" s="1" t="s">
        <v>2</v>
      </c>
      <c r="AR219" s="1" t="s">
        <v>139</v>
      </c>
      <c r="AS219" s="1">
        <v>2.0699999999999998</v>
      </c>
      <c r="AT219" s="1">
        <v>0.32</v>
      </c>
      <c r="AU219" s="1">
        <v>13.45</v>
      </c>
      <c r="AV219" s="1" t="s">
        <v>139</v>
      </c>
      <c r="AW219" s="1">
        <v>2.0699999999999998</v>
      </c>
      <c r="AX219" s="1">
        <v>0.32</v>
      </c>
      <c r="AY219" s="1">
        <v>13.45</v>
      </c>
      <c r="AZ219" s="1" t="s">
        <v>0</v>
      </c>
      <c r="BA219" s="1" t="s">
        <v>0</v>
      </c>
      <c r="BB219" s="1"/>
      <c r="BC219" s="1"/>
      <c r="BD219" s="1"/>
      <c r="BE219" s="1" t="s">
        <v>0</v>
      </c>
      <c r="BF219" s="1" t="s">
        <v>0</v>
      </c>
    </row>
    <row r="220" spans="1:58" x14ac:dyDescent="0.25">
      <c r="A220" s="1" t="s">
        <v>1199</v>
      </c>
      <c r="B220" s="1" t="s">
        <v>1200</v>
      </c>
      <c r="C220" s="1" t="s">
        <v>1201</v>
      </c>
      <c r="D220" s="1">
        <v>2019</v>
      </c>
      <c r="E220" s="1" t="b">
        <v>0</v>
      </c>
      <c r="F220" s="1" t="s">
        <v>1381</v>
      </c>
      <c r="G220" s="1" t="s">
        <v>1380</v>
      </c>
      <c r="H220" s="1" t="s">
        <v>22</v>
      </c>
      <c r="I220" s="1" t="s">
        <v>21</v>
      </c>
      <c r="J220" s="1" t="s">
        <v>20</v>
      </c>
      <c r="K220" s="1" t="s">
        <v>1202</v>
      </c>
      <c r="L220" s="1">
        <v>958</v>
      </c>
      <c r="M220" s="1" t="s">
        <v>278</v>
      </c>
      <c r="N220" s="1" t="s">
        <v>1203</v>
      </c>
      <c r="O220" s="1" t="s">
        <v>42</v>
      </c>
      <c r="P220" s="1" t="s">
        <v>133</v>
      </c>
      <c r="Q220" s="1" t="s">
        <v>1526</v>
      </c>
      <c r="R220" s="1" t="s">
        <v>2</v>
      </c>
      <c r="S220" s="1" t="s">
        <v>21</v>
      </c>
      <c r="T220" s="1">
        <v>1</v>
      </c>
      <c r="U220" s="1" t="s">
        <v>41</v>
      </c>
      <c r="V220" s="1" t="s">
        <v>53</v>
      </c>
      <c r="W220" s="1" t="s">
        <v>13</v>
      </c>
      <c r="X220" s="1" t="s">
        <v>1204</v>
      </c>
      <c r="Y220" s="1" t="s">
        <v>1205</v>
      </c>
      <c r="Z220" s="1" t="s">
        <v>39</v>
      </c>
      <c r="AA220" s="1" t="s">
        <v>1206</v>
      </c>
      <c r="AB220" s="1" t="s">
        <v>860</v>
      </c>
      <c r="AC220" s="1" t="s">
        <v>41</v>
      </c>
      <c r="AD220" s="1" t="s">
        <v>53</v>
      </c>
      <c r="AE220" s="1" t="s">
        <v>160</v>
      </c>
      <c r="AF220" s="1" t="s">
        <v>1207</v>
      </c>
      <c r="AG220" s="1" t="s">
        <v>1208</v>
      </c>
      <c r="AH220" s="1" t="s">
        <v>26</v>
      </c>
      <c r="AI220" s="1" t="s">
        <v>36</v>
      </c>
      <c r="AJ220" s="1" t="s">
        <v>1209</v>
      </c>
      <c r="AK220" s="1"/>
      <c r="AL220" s="1"/>
      <c r="AM220" s="1"/>
      <c r="AN220" s="1"/>
      <c r="AO220" s="1"/>
      <c r="AP220" s="1"/>
      <c r="AQ220" s="1" t="s">
        <v>2</v>
      </c>
      <c r="AR220" s="1" t="s">
        <v>139</v>
      </c>
      <c r="AS220" s="1">
        <v>3.72</v>
      </c>
      <c r="AT220" s="1">
        <v>0.36</v>
      </c>
      <c r="AU220" s="1">
        <v>38.21</v>
      </c>
      <c r="AV220" s="1" t="s">
        <v>139</v>
      </c>
      <c r="AW220" s="1">
        <v>3.72</v>
      </c>
      <c r="AX220" s="1">
        <v>0.36</v>
      </c>
      <c r="AY220" s="1">
        <v>38.21</v>
      </c>
      <c r="AZ220" s="1" t="s">
        <v>0</v>
      </c>
      <c r="BA220" s="1" t="s">
        <v>0</v>
      </c>
      <c r="BB220" s="1"/>
      <c r="BC220" s="1"/>
      <c r="BD220" s="1"/>
      <c r="BE220" s="1" t="s">
        <v>0</v>
      </c>
      <c r="BF220" s="1" t="s">
        <v>0</v>
      </c>
    </row>
    <row r="221" spans="1:58" x14ac:dyDescent="0.25">
      <c r="A221" s="1" t="s">
        <v>1213</v>
      </c>
      <c r="B221" s="1" t="s">
        <v>1214</v>
      </c>
      <c r="C221" s="1" t="s">
        <v>1215</v>
      </c>
      <c r="D221" s="1">
        <v>2012</v>
      </c>
      <c r="E221" s="1" t="b">
        <v>1</v>
      </c>
      <c r="F221" s="1" t="s">
        <v>1380</v>
      </c>
      <c r="G221" s="1" t="s">
        <v>1380</v>
      </c>
      <c r="H221" s="1" t="s">
        <v>22</v>
      </c>
      <c r="I221" s="1" t="s">
        <v>21</v>
      </c>
      <c r="J221" s="1" t="s">
        <v>20</v>
      </c>
      <c r="K221" s="1">
        <v>1022</v>
      </c>
      <c r="L221" s="1">
        <v>937</v>
      </c>
      <c r="M221" s="1" t="s">
        <v>148</v>
      </c>
      <c r="N221" s="1" t="s">
        <v>1193</v>
      </c>
      <c r="O221" s="1" t="s">
        <v>1217</v>
      </c>
      <c r="P221" s="1" t="s">
        <v>258</v>
      </c>
      <c r="Q221" s="1" t="s">
        <v>1527</v>
      </c>
      <c r="R221" s="1" t="s">
        <v>35</v>
      </c>
      <c r="S221" s="1" t="s">
        <v>21</v>
      </c>
      <c r="T221" s="1">
        <v>1</v>
      </c>
      <c r="U221" s="1" t="s">
        <v>145</v>
      </c>
      <c r="V221" s="1" t="s">
        <v>53</v>
      </c>
      <c r="W221" s="1" t="s">
        <v>13</v>
      </c>
      <c r="X221" s="1" t="s">
        <v>0</v>
      </c>
      <c r="Y221" s="1" t="s">
        <v>0</v>
      </c>
      <c r="Z221" s="1" t="s">
        <v>513</v>
      </c>
      <c r="AA221" s="1" t="s">
        <v>1228</v>
      </c>
      <c r="AB221" s="1" t="s">
        <v>1229</v>
      </c>
      <c r="AC221" s="1" t="s">
        <v>9</v>
      </c>
      <c r="AD221" s="1" t="s">
        <v>9</v>
      </c>
      <c r="AE221" s="1" t="s">
        <v>63</v>
      </c>
      <c r="AF221" s="1" t="s">
        <v>1230</v>
      </c>
      <c r="AG221" s="1" t="s">
        <v>1231</v>
      </c>
      <c r="AH221" s="1" t="s">
        <v>26</v>
      </c>
      <c r="AI221" s="1" t="s">
        <v>56</v>
      </c>
      <c r="AJ221" s="1" t="s">
        <v>721</v>
      </c>
      <c r="AK221" s="1"/>
      <c r="AL221" s="1"/>
      <c r="AM221" s="1"/>
      <c r="AN221" s="1"/>
      <c r="AO221" s="1" t="s">
        <v>9</v>
      </c>
      <c r="AP221" s="1" t="s">
        <v>9</v>
      </c>
      <c r="AQ221" s="1" t="s">
        <v>2</v>
      </c>
      <c r="AR221" s="1" t="s">
        <v>1</v>
      </c>
      <c r="AS221" s="1">
        <v>1.1200000000000001</v>
      </c>
      <c r="AT221" s="1">
        <v>0.87</v>
      </c>
      <c r="AU221" s="1">
        <v>1.46</v>
      </c>
      <c r="AV221" s="1" t="s">
        <v>1</v>
      </c>
      <c r="AW221" s="1">
        <v>1.1200000000000001</v>
      </c>
      <c r="AX221" s="1">
        <v>0.87</v>
      </c>
      <c r="AY221" s="1">
        <v>1.46</v>
      </c>
      <c r="AZ221" s="1" t="s">
        <v>1232</v>
      </c>
      <c r="BA221" s="1" t="s">
        <v>0</v>
      </c>
      <c r="BB221" s="1"/>
      <c r="BC221" s="1"/>
      <c r="BD221" s="1"/>
      <c r="BE221" s="1" t="s">
        <v>0</v>
      </c>
      <c r="BF221" s="1" t="s">
        <v>0</v>
      </c>
    </row>
    <row r="222" spans="1:58" x14ac:dyDescent="0.25">
      <c r="A222" s="1" t="s">
        <v>1213</v>
      </c>
      <c r="B222" s="1" t="s">
        <v>1214</v>
      </c>
      <c r="C222" s="1" t="s">
        <v>1215</v>
      </c>
      <c r="D222" s="1">
        <v>2012</v>
      </c>
      <c r="E222" s="1" t="b">
        <v>1</v>
      </c>
      <c r="F222" s="1" t="s">
        <v>1380</v>
      </c>
      <c r="G222" s="1" t="s">
        <v>1380</v>
      </c>
      <c r="H222" s="1" t="s">
        <v>22</v>
      </c>
      <c r="I222" s="1" t="s">
        <v>21</v>
      </c>
      <c r="J222" s="1" t="s">
        <v>20</v>
      </c>
      <c r="K222" s="1">
        <v>1022</v>
      </c>
      <c r="L222" s="1">
        <v>740</v>
      </c>
      <c r="M222" s="1" t="s">
        <v>148</v>
      </c>
      <c r="N222" s="1" t="s">
        <v>1193</v>
      </c>
      <c r="O222" s="1" t="s">
        <v>1217</v>
      </c>
      <c r="P222" s="1" t="s">
        <v>258</v>
      </c>
      <c r="Q222" s="1" t="s">
        <v>1527</v>
      </c>
      <c r="R222" s="1" t="s">
        <v>35</v>
      </c>
      <c r="S222" s="1" t="s">
        <v>21</v>
      </c>
      <c r="T222" s="1">
        <v>1</v>
      </c>
      <c r="U222" s="1" t="s">
        <v>145</v>
      </c>
      <c r="V222" s="1" t="s">
        <v>53</v>
      </c>
      <c r="W222" s="1" t="s">
        <v>13</v>
      </c>
      <c r="X222" s="1" t="s">
        <v>0</v>
      </c>
      <c r="Y222" s="1" t="s">
        <v>0</v>
      </c>
      <c r="Z222" s="1" t="s">
        <v>513</v>
      </c>
      <c r="AA222" s="1" t="s">
        <v>1228</v>
      </c>
      <c r="AB222" s="1" t="s">
        <v>1229</v>
      </c>
      <c r="AC222" s="1" t="s">
        <v>9</v>
      </c>
      <c r="AD222" s="1" t="s">
        <v>9</v>
      </c>
      <c r="AE222" s="1" t="s">
        <v>160</v>
      </c>
      <c r="AF222" s="1" t="s">
        <v>1238</v>
      </c>
      <c r="AG222" s="1" t="s">
        <v>1239</v>
      </c>
      <c r="AH222" s="1" t="s">
        <v>26</v>
      </c>
      <c r="AI222" s="1" t="s">
        <v>56</v>
      </c>
      <c r="AJ222" s="1" t="s">
        <v>721</v>
      </c>
      <c r="AK222" s="1"/>
      <c r="AL222" s="1"/>
      <c r="AM222" s="1"/>
      <c r="AN222" s="1"/>
      <c r="AO222" s="1" t="s">
        <v>9</v>
      </c>
      <c r="AP222" s="1" t="s">
        <v>9</v>
      </c>
      <c r="AQ222" s="1" t="s">
        <v>2</v>
      </c>
      <c r="AR222" s="1" t="s">
        <v>1</v>
      </c>
      <c r="AS222" s="1">
        <v>0.77</v>
      </c>
      <c r="AT222" s="1">
        <v>0.57999999999999996</v>
      </c>
      <c r="AU222" s="1">
        <v>1.03</v>
      </c>
      <c r="AV222" s="1" t="s">
        <v>1</v>
      </c>
      <c r="AW222" s="1">
        <v>0.77</v>
      </c>
      <c r="AX222" s="1">
        <v>0.57999999999999996</v>
      </c>
      <c r="AY222" s="1">
        <v>1.03</v>
      </c>
      <c r="AZ222" s="1">
        <v>7.6999999999999999E-2</v>
      </c>
      <c r="BA222" s="1" t="s">
        <v>0</v>
      </c>
      <c r="BB222" s="1"/>
      <c r="BC222" s="1"/>
      <c r="BD222" s="1"/>
      <c r="BE222" s="1" t="s">
        <v>0</v>
      </c>
      <c r="BF222" s="1" t="s">
        <v>0</v>
      </c>
    </row>
    <row r="223" spans="1:58" x14ac:dyDescent="0.25">
      <c r="A223" s="1" t="s">
        <v>1213</v>
      </c>
      <c r="B223" s="1" t="s">
        <v>1214</v>
      </c>
      <c r="C223" s="1" t="s">
        <v>1215</v>
      </c>
      <c r="D223" s="1">
        <v>2012</v>
      </c>
      <c r="E223" s="1" t="b">
        <v>1</v>
      </c>
      <c r="F223" s="1" t="s">
        <v>1380</v>
      </c>
      <c r="G223" s="1" t="s">
        <v>1380</v>
      </c>
      <c r="H223" s="1" t="s">
        <v>22</v>
      </c>
      <c r="I223" s="1" t="s">
        <v>21</v>
      </c>
      <c r="J223" s="1" t="s">
        <v>20</v>
      </c>
      <c r="K223" s="1">
        <v>1022</v>
      </c>
      <c r="L223" s="1">
        <v>937</v>
      </c>
      <c r="M223" s="1" t="s">
        <v>148</v>
      </c>
      <c r="N223" s="1" t="s">
        <v>1193</v>
      </c>
      <c r="O223" s="1" t="s">
        <v>1217</v>
      </c>
      <c r="P223" s="1" t="s">
        <v>258</v>
      </c>
      <c r="Q223" s="1" t="s">
        <v>1527</v>
      </c>
      <c r="R223" s="1" t="s">
        <v>2</v>
      </c>
      <c r="S223" s="1" t="s">
        <v>21</v>
      </c>
      <c r="T223" s="1">
        <v>0</v>
      </c>
      <c r="U223" s="1" t="s">
        <v>145</v>
      </c>
      <c r="V223" s="1" t="s">
        <v>53</v>
      </c>
      <c r="W223" s="1" t="s">
        <v>13</v>
      </c>
      <c r="X223" s="1" t="s">
        <v>0</v>
      </c>
      <c r="Y223" s="1" t="s">
        <v>0</v>
      </c>
      <c r="Z223" s="1" t="s">
        <v>39</v>
      </c>
      <c r="AA223" s="1" t="s">
        <v>1233</v>
      </c>
      <c r="AB223" s="1" t="s">
        <v>1233</v>
      </c>
      <c r="AC223" s="1" t="s">
        <v>9</v>
      </c>
      <c r="AD223" s="1" t="s">
        <v>9</v>
      </c>
      <c r="AE223" s="1" t="s">
        <v>63</v>
      </c>
      <c r="AF223" s="1" t="s">
        <v>1234</v>
      </c>
      <c r="AG223" s="1" t="s">
        <v>1235</v>
      </c>
      <c r="AH223" s="1" t="s">
        <v>26</v>
      </c>
      <c r="AI223" s="1" t="s">
        <v>56</v>
      </c>
      <c r="AJ223" s="1" t="s">
        <v>721</v>
      </c>
      <c r="AK223" s="1"/>
      <c r="AL223" s="1"/>
      <c r="AM223" s="1"/>
      <c r="AN223" s="1"/>
      <c r="AO223" s="1" t="s">
        <v>9</v>
      </c>
      <c r="AP223" s="1" t="s">
        <v>9</v>
      </c>
      <c r="AQ223" s="1" t="s">
        <v>35</v>
      </c>
      <c r="AR223" s="1" t="s">
        <v>1</v>
      </c>
      <c r="AS223" s="1">
        <v>0.98039215686274506</v>
      </c>
      <c r="AT223" s="1">
        <v>0.74626865671641784</v>
      </c>
      <c r="AU223" s="1">
        <v>1.2820512820512819</v>
      </c>
      <c r="AV223" s="1" t="s">
        <v>1</v>
      </c>
      <c r="AW223" s="1">
        <v>1.05</v>
      </c>
      <c r="AX223" s="1">
        <v>0.81</v>
      </c>
      <c r="AY223" s="1">
        <v>1.36</v>
      </c>
      <c r="AZ223" s="1" t="s">
        <v>1236</v>
      </c>
      <c r="BA223" s="1" t="s">
        <v>1</v>
      </c>
      <c r="BB223" s="1">
        <v>0.98039215686274506</v>
      </c>
      <c r="BC223" s="1">
        <v>0.74626865671641784</v>
      </c>
      <c r="BD223" s="1">
        <v>1.2820512820512819</v>
      </c>
      <c r="BE223" s="1" t="s">
        <v>0</v>
      </c>
      <c r="BF223" s="1" t="s">
        <v>1237</v>
      </c>
    </row>
    <row r="224" spans="1:58" x14ac:dyDescent="0.25">
      <c r="A224" s="1" t="s">
        <v>1213</v>
      </c>
      <c r="B224" s="1" t="s">
        <v>1214</v>
      </c>
      <c r="C224" s="1" t="s">
        <v>1215</v>
      </c>
      <c r="D224" s="1">
        <v>2012</v>
      </c>
      <c r="E224" s="1" t="b">
        <v>1</v>
      </c>
      <c r="F224" s="1" t="s">
        <v>1380</v>
      </c>
      <c r="G224" s="1" t="s">
        <v>1380</v>
      </c>
      <c r="H224" s="1" t="s">
        <v>22</v>
      </c>
      <c r="I224" s="1" t="s">
        <v>21</v>
      </c>
      <c r="J224" s="1" t="s">
        <v>20</v>
      </c>
      <c r="K224" s="1">
        <v>1022</v>
      </c>
      <c r="L224" s="1" t="s">
        <v>1216</v>
      </c>
      <c r="M224" s="1" t="s">
        <v>148</v>
      </c>
      <c r="N224" s="1" t="s">
        <v>1193</v>
      </c>
      <c r="O224" s="1" t="s">
        <v>1217</v>
      </c>
      <c r="P224" s="1" t="s">
        <v>258</v>
      </c>
      <c r="Q224" s="1" t="s">
        <v>1527</v>
      </c>
      <c r="R224" s="1" t="s">
        <v>2</v>
      </c>
      <c r="S224" s="1" t="s">
        <v>21</v>
      </c>
      <c r="T224" s="1">
        <v>0</v>
      </c>
      <c r="U224" s="1" t="s">
        <v>145</v>
      </c>
      <c r="V224" s="1" t="s">
        <v>53</v>
      </c>
      <c r="W224" s="1" t="s">
        <v>13</v>
      </c>
      <c r="X224" s="1" t="s">
        <v>0</v>
      </c>
      <c r="Y224" s="1" t="s">
        <v>0</v>
      </c>
      <c r="Z224" s="1" t="s">
        <v>39</v>
      </c>
      <c r="AA224" s="1" t="s">
        <v>1233</v>
      </c>
      <c r="AB224" s="1" t="s">
        <v>1233</v>
      </c>
      <c r="AC224" s="1" t="s">
        <v>9</v>
      </c>
      <c r="AD224" s="1" t="s">
        <v>9</v>
      </c>
      <c r="AE224" s="1" t="s">
        <v>160</v>
      </c>
      <c r="AF224" s="1" t="s">
        <v>1240</v>
      </c>
      <c r="AG224" s="1" t="s">
        <v>1241</v>
      </c>
      <c r="AH224" s="1" t="s">
        <v>26</v>
      </c>
      <c r="AI224" s="1" t="s">
        <v>56</v>
      </c>
      <c r="AJ224" s="1" t="s">
        <v>721</v>
      </c>
      <c r="AK224" s="1"/>
      <c r="AL224" s="1"/>
      <c r="AM224" s="1"/>
      <c r="AN224" s="1"/>
      <c r="AO224" s="1" t="s">
        <v>9</v>
      </c>
      <c r="AP224" s="1" t="s">
        <v>9</v>
      </c>
      <c r="AQ224" s="1" t="s">
        <v>35</v>
      </c>
      <c r="AR224" s="1" t="s">
        <v>1</v>
      </c>
      <c r="AS224" s="1">
        <v>0.8</v>
      </c>
      <c r="AT224" s="1">
        <v>0.58823529411764708</v>
      </c>
      <c r="AU224" s="1">
        <v>1.0869565217391299</v>
      </c>
      <c r="AV224" s="1" t="s">
        <v>1</v>
      </c>
      <c r="AW224" s="1">
        <v>0.8</v>
      </c>
      <c r="AX224" s="1">
        <v>0.59</v>
      </c>
      <c r="AY224" s="1">
        <v>1.07</v>
      </c>
      <c r="AZ224" s="1" t="s">
        <v>937</v>
      </c>
      <c r="BA224" s="1" t="s">
        <v>1</v>
      </c>
      <c r="BB224" s="1">
        <v>0.8</v>
      </c>
      <c r="BC224" s="1">
        <v>0.58823529411764708</v>
      </c>
      <c r="BD224" s="1">
        <v>1.0869565217391299</v>
      </c>
      <c r="BE224" s="1" t="s">
        <v>0</v>
      </c>
      <c r="BF224" s="1" t="s">
        <v>1237</v>
      </c>
    </row>
    <row r="225" spans="1:58" x14ac:dyDescent="0.25">
      <c r="A225" s="1" t="s">
        <v>1213</v>
      </c>
      <c r="B225" s="1" t="s">
        <v>1214</v>
      </c>
      <c r="C225" s="1" t="s">
        <v>1215</v>
      </c>
      <c r="D225" s="1">
        <v>2012</v>
      </c>
      <c r="E225" s="1" t="b">
        <v>1</v>
      </c>
      <c r="F225" s="1" t="s">
        <v>1380</v>
      </c>
      <c r="G225" s="1" t="s">
        <v>1380</v>
      </c>
      <c r="H225" s="1" t="s">
        <v>22</v>
      </c>
      <c r="I225" s="1" t="s">
        <v>21</v>
      </c>
      <c r="J225" s="1" t="s">
        <v>20</v>
      </c>
      <c r="K225" s="1">
        <v>1022</v>
      </c>
      <c r="L225" s="1">
        <v>735</v>
      </c>
      <c r="M225" s="1" t="s">
        <v>148</v>
      </c>
      <c r="N225" s="1" t="s">
        <v>1193</v>
      </c>
      <c r="O225" s="1" t="s">
        <v>1217</v>
      </c>
      <c r="P225" s="1" t="s">
        <v>258</v>
      </c>
      <c r="Q225" s="1" t="s">
        <v>1527</v>
      </c>
      <c r="R225" s="1" t="s">
        <v>2</v>
      </c>
      <c r="S225" s="1" t="s">
        <v>21</v>
      </c>
      <c r="T225" s="1">
        <v>0</v>
      </c>
      <c r="U225" s="1" t="s">
        <v>145</v>
      </c>
      <c r="V225" s="1" t="s">
        <v>53</v>
      </c>
      <c r="W225" s="1" t="s">
        <v>13</v>
      </c>
      <c r="X225" s="1" t="s">
        <v>0</v>
      </c>
      <c r="Y225" s="1" t="s">
        <v>0</v>
      </c>
      <c r="Z225" s="1" t="s">
        <v>80</v>
      </c>
      <c r="AA225" s="1" t="s">
        <v>1223</v>
      </c>
      <c r="AB225" s="1" t="s">
        <v>113</v>
      </c>
      <c r="AC225" s="1" t="s">
        <v>9</v>
      </c>
      <c r="AD225" s="1" t="s">
        <v>9</v>
      </c>
      <c r="AE225" s="1" t="s">
        <v>63</v>
      </c>
      <c r="AF225" s="1" t="s">
        <v>896</v>
      </c>
      <c r="AG225" s="1" t="s">
        <v>1224</v>
      </c>
      <c r="AH225" s="1" t="s">
        <v>26</v>
      </c>
      <c r="AI225" s="1" t="s">
        <v>56</v>
      </c>
      <c r="AJ225" s="1" t="s">
        <v>721</v>
      </c>
      <c r="AK225" s="1"/>
      <c r="AL225" s="1"/>
      <c r="AM225" s="1"/>
      <c r="AN225" s="1"/>
      <c r="AO225" s="1" t="s">
        <v>9</v>
      </c>
      <c r="AP225" s="1" t="s">
        <v>9</v>
      </c>
      <c r="AQ225" s="1" t="s">
        <v>2</v>
      </c>
      <c r="AR225" s="1" t="s">
        <v>1</v>
      </c>
      <c r="AS225" s="1">
        <v>1.1299999999999999</v>
      </c>
      <c r="AT225" s="1">
        <v>0.77</v>
      </c>
      <c r="AU225" s="1">
        <v>1.65</v>
      </c>
      <c r="AV225" s="1" t="s">
        <v>1</v>
      </c>
      <c r="AW225" s="1">
        <v>1.1299999999999999</v>
      </c>
      <c r="AX225" s="1">
        <v>0.77</v>
      </c>
      <c r="AY225" s="1">
        <v>1.65</v>
      </c>
      <c r="AZ225" s="1" t="s">
        <v>1225</v>
      </c>
      <c r="BA225" s="1" t="s">
        <v>0</v>
      </c>
      <c r="BB225" s="1"/>
      <c r="BC225" s="1"/>
      <c r="BD225" s="1"/>
      <c r="BE225" s="1" t="s">
        <v>0</v>
      </c>
      <c r="BF225" s="1" t="s">
        <v>0</v>
      </c>
    </row>
    <row r="226" spans="1:58" x14ac:dyDescent="0.25">
      <c r="A226" s="1" t="s">
        <v>1213</v>
      </c>
      <c r="B226" s="1" t="s">
        <v>1214</v>
      </c>
      <c r="C226" s="1" t="s">
        <v>1215</v>
      </c>
      <c r="D226" s="1">
        <v>2012</v>
      </c>
      <c r="E226" s="1" t="b">
        <v>1</v>
      </c>
      <c r="F226" s="1" t="s">
        <v>1380</v>
      </c>
      <c r="G226" s="1" t="s">
        <v>1380</v>
      </c>
      <c r="H226" s="1" t="s">
        <v>22</v>
      </c>
      <c r="I226" s="1" t="s">
        <v>21</v>
      </c>
      <c r="J226" s="1" t="s">
        <v>20</v>
      </c>
      <c r="K226" s="1">
        <v>1022</v>
      </c>
      <c r="L226" s="1">
        <v>735</v>
      </c>
      <c r="M226" s="1" t="s">
        <v>148</v>
      </c>
      <c r="N226" s="1" t="s">
        <v>1193</v>
      </c>
      <c r="O226" s="1" t="s">
        <v>1217</v>
      </c>
      <c r="P226" s="1" t="s">
        <v>258</v>
      </c>
      <c r="Q226" s="1" t="s">
        <v>1527</v>
      </c>
      <c r="R226" s="1" t="s">
        <v>2</v>
      </c>
      <c r="S226" s="1" t="s">
        <v>21</v>
      </c>
      <c r="T226" s="1">
        <v>0</v>
      </c>
      <c r="U226" s="1" t="s">
        <v>145</v>
      </c>
      <c r="V226" s="1" t="s">
        <v>53</v>
      </c>
      <c r="W226" s="1" t="s">
        <v>13</v>
      </c>
      <c r="X226" s="1" t="s">
        <v>0</v>
      </c>
      <c r="Y226" s="1" t="s">
        <v>0</v>
      </c>
      <c r="Z226" s="1" t="s">
        <v>80</v>
      </c>
      <c r="AA226" s="1" t="s">
        <v>1223</v>
      </c>
      <c r="AB226" s="1" t="s">
        <v>113</v>
      </c>
      <c r="AC226" s="1" t="s">
        <v>9</v>
      </c>
      <c r="AD226" s="1" t="s">
        <v>9</v>
      </c>
      <c r="AE226" s="1" t="s">
        <v>160</v>
      </c>
      <c r="AF226" s="1" t="s">
        <v>872</v>
      </c>
      <c r="AG226" s="1" t="s">
        <v>1226</v>
      </c>
      <c r="AH226" s="1" t="s">
        <v>26</v>
      </c>
      <c r="AI226" s="1" t="s">
        <v>56</v>
      </c>
      <c r="AJ226" s="1" t="s">
        <v>721</v>
      </c>
      <c r="AK226" s="1"/>
      <c r="AL226" s="1"/>
      <c r="AM226" s="1"/>
      <c r="AN226" s="1"/>
      <c r="AO226" s="1" t="s">
        <v>9</v>
      </c>
      <c r="AP226" s="1" t="s">
        <v>9</v>
      </c>
      <c r="AQ226" s="1" t="s">
        <v>2</v>
      </c>
      <c r="AR226" s="1" t="s">
        <v>1</v>
      </c>
      <c r="AS226" s="1">
        <v>0.8</v>
      </c>
      <c r="AT226" s="1">
        <v>0.56000000000000005</v>
      </c>
      <c r="AU226" s="1">
        <v>1.1499999999999999</v>
      </c>
      <c r="AV226" s="1" t="s">
        <v>1</v>
      </c>
      <c r="AW226" s="1">
        <v>0.8</v>
      </c>
      <c r="AX226" s="1">
        <v>0.56000000000000005</v>
      </c>
      <c r="AY226" s="1">
        <v>1.1499999999999999</v>
      </c>
      <c r="AZ226" s="1" t="s">
        <v>1227</v>
      </c>
      <c r="BA226" s="1" t="s">
        <v>0</v>
      </c>
      <c r="BB226" s="1"/>
      <c r="BC226" s="1"/>
      <c r="BD226" s="1"/>
      <c r="BE226" s="1" t="s">
        <v>0</v>
      </c>
      <c r="BF226" s="1" t="s">
        <v>0</v>
      </c>
    </row>
    <row r="227" spans="1:58" x14ac:dyDescent="0.25">
      <c r="A227" s="1" t="s">
        <v>1213</v>
      </c>
      <c r="B227" s="1" t="s">
        <v>1214</v>
      </c>
      <c r="C227" s="1" t="s">
        <v>1215</v>
      </c>
      <c r="D227" s="1">
        <v>2012</v>
      </c>
      <c r="E227" s="1" t="b">
        <v>1</v>
      </c>
      <c r="F227" s="1" t="s">
        <v>1380</v>
      </c>
      <c r="G227" s="1" t="s">
        <v>1380</v>
      </c>
      <c r="H227" s="1" t="s">
        <v>22</v>
      </c>
      <c r="I227" s="1" t="s">
        <v>21</v>
      </c>
      <c r="J227" s="1" t="s">
        <v>20</v>
      </c>
      <c r="K227" s="1">
        <v>1022</v>
      </c>
      <c r="L227" s="1">
        <v>937</v>
      </c>
      <c r="M227" s="1" t="s">
        <v>148</v>
      </c>
      <c r="N227" s="1" t="s">
        <v>1193</v>
      </c>
      <c r="O227" s="1" t="s">
        <v>1217</v>
      </c>
      <c r="P227" s="1" t="s">
        <v>258</v>
      </c>
      <c r="Q227" s="1" t="s">
        <v>1527</v>
      </c>
      <c r="R227" s="1" t="s">
        <v>2</v>
      </c>
      <c r="S227" s="1" t="s">
        <v>21</v>
      </c>
      <c r="T227" s="1">
        <v>0</v>
      </c>
      <c r="U227" s="1" t="s">
        <v>145</v>
      </c>
      <c r="V227" s="1" t="s">
        <v>53</v>
      </c>
      <c r="W227" s="1" t="s">
        <v>13</v>
      </c>
      <c r="X227" s="1" t="s">
        <v>0</v>
      </c>
      <c r="Y227" s="1" t="s">
        <v>0</v>
      </c>
      <c r="Z227" s="1" t="s">
        <v>11</v>
      </c>
      <c r="AA227" s="1" t="s">
        <v>1218</v>
      </c>
      <c r="AB227" s="1" t="s">
        <v>1219</v>
      </c>
      <c r="AC227" s="1" t="s">
        <v>9</v>
      </c>
      <c r="AD227" s="1" t="s">
        <v>9</v>
      </c>
      <c r="AE227" s="1" t="s">
        <v>63</v>
      </c>
      <c r="AF227" s="1" t="s">
        <v>496</v>
      </c>
      <c r="AG227" s="1" t="s">
        <v>1220</v>
      </c>
      <c r="AH227" s="1" t="s">
        <v>26</v>
      </c>
      <c r="AI227" s="1" t="s">
        <v>56</v>
      </c>
      <c r="AJ227" s="1" t="s">
        <v>721</v>
      </c>
      <c r="AK227" s="1"/>
      <c r="AL227" s="1"/>
      <c r="AM227" s="1"/>
      <c r="AN227" s="1"/>
      <c r="AO227" s="1" t="s">
        <v>9</v>
      </c>
      <c r="AP227" s="1" t="s">
        <v>9</v>
      </c>
      <c r="AQ227" s="1" t="s">
        <v>2</v>
      </c>
      <c r="AR227" s="1" t="s">
        <v>1</v>
      </c>
      <c r="AS227" s="1">
        <v>0.65</v>
      </c>
      <c r="AT227" s="1">
        <v>0.45</v>
      </c>
      <c r="AU227" s="1">
        <v>0.95</v>
      </c>
      <c r="AV227" s="1" t="s">
        <v>1</v>
      </c>
      <c r="AW227" s="1">
        <v>0.65</v>
      </c>
      <c r="AX227" s="1">
        <v>0.45</v>
      </c>
      <c r="AY227" s="1">
        <v>0.95</v>
      </c>
      <c r="AZ227" s="1">
        <v>2.5000000000000001E-2</v>
      </c>
      <c r="BA227" s="1" t="s">
        <v>0</v>
      </c>
      <c r="BB227" s="1"/>
      <c r="BC227" s="1"/>
      <c r="BD227" s="1"/>
      <c r="BE227" s="1" t="s">
        <v>0</v>
      </c>
      <c r="BF227" s="1" t="s">
        <v>0</v>
      </c>
    </row>
    <row r="228" spans="1:58" x14ac:dyDescent="0.25">
      <c r="A228" s="1" t="s">
        <v>1213</v>
      </c>
      <c r="B228" s="1" t="s">
        <v>1214</v>
      </c>
      <c r="C228" s="1" t="s">
        <v>1215</v>
      </c>
      <c r="D228" s="1">
        <v>2012</v>
      </c>
      <c r="E228" s="1" t="b">
        <v>1</v>
      </c>
      <c r="F228" s="1" t="s">
        <v>1380</v>
      </c>
      <c r="G228" s="1" t="s">
        <v>1380</v>
      </c>
      <c r="H228" s="1" t="s">
        <v>22</v>
      </c>
      <c r="I228" s="1" t="s">
        <v>21</v>
      </c>
      <c r="J228" s="1" t="s">
        <v>20</v>
      </c>
      <c r="K228" s="1">
        <v>1022</v>
      </c>
      <c r="L228" s="1">
        <v>739</v>
      </c>
      <c r="M228" s="1" t="s">
        <v>148</v>
      </c>
      <c r="N228" s="1" t="s">
        <v>1193</v>
      </c>
      <c r="O228" s="1" t="s">
        <v>1217</v>
      </c>
      <c r="P228" s="1" t="s">
        <v>258</v>
      </c>
      <c r="Q228" s="1" t="s">
        <v>1527</v>
      </c>
      <c r="R228" s="1" t="s">
        <v>2</v>
      </c>
      <c r="S228" s="1" t="s">
        <v>21</v>
      </c>
      <c r="T228" s="1">
        <v>0</v>
      </c>
      <c r="U228" s="1" t="s">
        <v>145</v>
      </c>
      <c r="V228" s="1" t="s">
        <v>53</v>
      </c>
      <c r="W228" s="1" t="s">
        <v>13</v>
      </c>
      <c r="X228" s="1" t="s">
        <v>0</v>
      </c>
      <c r="Y228" s="1" t="s">
        <v>0</v>
      </c>
      <c r="Z228" s="1" t="s">
        <v>11</v>
      </c>
      <c r="AA228" s="1" t="s">
        <v>1218</v>
      </c>
      <c r="AB228" s="1" t="s">
        <v>1219</v>
      </c>
      <c r="AC228" s="1" t="s">
        <v>9</v>
      </c>
      <c r="AD228" s="1" t="s">
        <v>9</v>
      </c>
      <c r="AE228" s="1" t="s">
        <v>160</v>
      </c>
      <c r="AF228" s="1" t="s">
        <v>1221</v>
      </c>
      <c r="AG228" s="1" t="s">
        <v>1222</v>
      </c>
      <c r="AH228" s="1" t="s">
        <v>26</v>
      </c>
      <c r="AI228" s="1" t="s">
        <v>56</v>
      </c>
      <c r="AJ228" s="1" t="s">
        <v>721</v>
      </c>
      <c r="AK228" s="1"/>
      <c r="AL228" s="1"/>
      <c r="AM228" s="1"/>
      <c r="AN228" s="1"/>
      <c r="AO228" s="1" t="s">
        <v>9</v>
      </c>
      <c r="AP228" s="1" t="s">
        <v>9</v>
      </c>
      <c r="AQ228" s="1" t="s">
        <v>2</v>
      </c>
      <c r="AR228" s="1" t="s">
        <v>1</v>
      </c>
      <c r="AS228" s="1">
        <v>0.59</v>
      </c>
      <c r="AT228" s="1">
        <v>0.39</v>
      </c>
      <c r="AU228" s="1">
        <v>0.88</v>
      </c>
      <c r="AV228" s="1" t="s">
        <v>1</v>
      </c>
      <c r="AW228" s="1">
        <v>0.59</v>
      </c>
      <c r="AX228" s="1">
        <v>0.39</v>
      </c>
      <c r="AY228" s="1">
        <v>0.88</v>
      </c>
      <c r="AZ228" s="1">
        <v>8.9999999999999993E-3</v>
      </c>
      <c r="BA228" s="1" t="s">
        <v>0</v>
      </c>
      <c r="BB228" s="1"/>
      <c r="BC228" s="1"/>
      <c r="BD228" s="1"/>
      <c r="BE228" s="1" t="s">
        <v>0</v>
      </c>
      <c r="BF228" s="1" t="s">
        <v>0</v>
      </c>
    </row>
  </sheetData>
  <phoneticPr fontId="4" type="noConversion"/>
  <pageMargins left="0.7" right="0.7"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B5476-196E-4EF7-A006-460E6A612742}">
  <dimension ref="A1:MQ24"/>
  <sheetViews>
    <sheetView zoomScale="115" zoomScaleNormal="115" workbookViewId="0">
      <pane xSplit="1" ySplit="1" topLeftCell="B2" activePane="bottomRight" state="frozen"/>
      <selection pane="topRight" activeCell="B1" sqref="B1"/>
      <selection pane="bottomLeft" activeCell="A2" sqref="A2"/>
      <selection pane="bottomRight" activeCell="BE7" sqref="A2:BE7"/>
    </sheetView>
  </sheetViews>
  <sheetFormatPr defaultColWidth="8.7109375" defaultRowHeight="15" x14ac:dyDescent="0.25"/>
  <cols>
    <col min="1" max="1" width="26.42578125" bestFit="1" customWidth="1"/>
    <col min="2" max="2" width="21.85546875" customWidth="1"/>
    <col min="5" max="8" width="10.42578125" customWidth="1"/>
    <col min="9" max="9" width="10.28515625" customWidth="1"/>
    <col min="11" max="12" width="13.7109375" customWidth="1"/>
    <col min="13" max="13" width="12.7109375" customWidth="1"/>
    <col min="14" max="14" width="12.42578125" customWidth="1"/>
    <col min="17" max="21" width="12.28515625" customWidth="1"/>
    <col min="23" max="26" width="12.28515625" customWidth="1"/>
    <col min="27" max="27" width="10.7109375" customWidth="1"/>
    <col min="28" max="28" width="15.28515625" customWidth="1"/>
    <col min="29" max="29" width="15.42578125" customWidth="1"/>
    <col min="30" max="30" width="10.140625" customWidth="1"/>
    <col min="31" max="32" width="9.42578125" customWidth="1"/>
    <col min="33" max="33" width="18.28515625" customWidth="1"/>
    <col min="34" max="34" width="23.140625" bestFit="1" customWidth="1"/>
    <col min="35" max="35" width="17.85546875" bestFit="1" customWidth="1"/>
    <col min="36" max="36" width="21.140625" customWidth="1"/>
    <col min="37" max="37" width="16.140625" customWidth="1"/>
    <col min="38" max="38" width="12.28515625" customWidth="1"/>
    <col min="39" max="41" width="14.28515625" customWidth="1"/>
    <col min="42" max="42" width="17.7109375" customWidth="1"/>
    <col min="43" max="43" width="22.42578125" customWidth="1"/>
    <col min="44" max="44" width="13.28515625" customWidth="1"/>
    <col min="45" max="45" width="19.7109375" bestFit="1" customWidth="1"/>
    <col min="46" max="46" width="20" bestFit="1" customWidth="1"/>
    <col min="47" max="47" width="21.7109375" customWidth="1"/>
    <col min="48" max="48" width="20.42578125" customWidth="1"/>
    <col min="49" max="49" width="15.7109375" customWidth="1"/>
    <col min="51" max="51" width="18.28515625" customWidth="1"/>
    <col min="52" max="52" width="12" customWidth="1"/>
    <col min="53" max="54" width="17.7109375" customWidth="1"/>
    <col min="55" max="55" width="11.42578125" customWidth="1"/>
    <col min="56" max="56" width="10.42578125" customWidth="1"/>
    <col min="57" max="57" width="10.28515625" customWidth="1"/>
    <col min="58" max="58" width="10.42578125" customWidth="1"/>
    <col min="59" max="59" width="9.7109375" customWidth="1"/>
    <col min="60" max="60" width="10.7109375" customWidth="1"/>
    <col min="62" max="63" width="10.7109375" customWidth="1"/>
    <col min="64" max="64" width="10.28515625" customWidth="1"/>
    <col min="65" max="65" width="234.7109375" bestFit="1" customWidth="1"/>
    <col min="66" max="66" width="13.28515625" customWidth="1"/>
    <col min="67" max="68" width="12.7109375" customWidth="1"/>
    <col min="69" max="69" width="11" customWidth="1"/>
    <col min="70" max="71" width="13.28515625" customWidth="1"/>
    <col min="72" max="72" width="14.42578125" customWidth="1"/>
    <col min="73" max="74" width="20.42578125" customWidth="1"/>
    <col min="75" max="75" width="13.28515625" customWidth="1"/>
    <col min="76" max="76" width="11" customWidth="1"/>
    <col min="77" max="77" width="18.28515625" customWidth="1"/>
    <col min="78" max="78" width="16.28515625" customWidth="1"/>
    <col min="79" max="79" width="15" customWidth="1"/>
    <col min="80" max="80" width="15.140625" customWidth="1"/>
    <col min="81" max="81" width="12.7109375" customWidth="1"/>
    <col min="82" max="82" width="14.7109375" customWidth="1"/>
    <col min="83" max="83" width="14.28515625" customWidth="1"/>
    <col min="84" max="84" width="14" customWidth="1"/>
    <col min="85" max="85" width="14.28515625" customWidth="1"/>
    <col min="86" max="86" width="10.7109375" customWidth="1"/>
    <col min="87" max="87" width="12.7109375" customWidth="1"/>
    <col min="88" max="88" width="15.28515625" customWidth="1"/>
    <col min="89" max="90" width="10.42578125" customWidth="1"/>
    <col min="92" max="92" width="18.7109375" bestFit="1" customWidth="1"/>
  </cols>
  <sheetData>
    <row r="1" spans="1:57" s="3" customFormat="1" x14ac:dyDescent="0.25">
      <c r="A1" s="4" t="s">
        <v>448</v>
      </c>
      <c r="B1" s="4" t="s">
        <v>447</v>
      </c>
      <c r="C1" s="4" t="s">
        <v>446</v>
      </c>
      <c r="D1" s="4" t="s">
        <v>445</v>
      </c>
      <c r="E1" s="4" t="s">
        <v>444</v>
      </c>
      <c r="F1" s="4" t="s">
        <v>1529</v>
      </c>
      <c r="G1" s="4" t="s">
        <v>1518</v>
      </c>
      <c r="H1" s="4" t="s">
        <v>443</v>
      </c>
      <c r="I1" s="4" t="s">
        <v>1523</v>
      </c>
      <c r="J1" s="4" t="s">
        <v>441</v>
      </c>
      <c r="K1" s="4" t="s">
        <v>1516</v>
      </c>
      <c r="L1" s="4" t="s">
        <v>1517</v>
      </c>
      <c r="M1" s="4" t="s">
        <v>440</v>
      </c>
      <c r="N1" s="4" t="s">
        <v>439</v>
      </c>
      <c r="O1" s="4" t="s">
        <v>438</v>
      </c>
      <c r="P1" s="4" t="s">
        <v>1530</v>
      </c>
      <c r="Q1" s="4" t="s">
        <v>1519</v>
      </c>
      <c r="R1" s="4" t="s">
        <v>1521</v>
      </c>
      <c r="S1" s="4" t="s">
        <v>442</v>
      </c>
      <c r="T1" s="4" t="s">
        <v>437</v>
      </c>
      <c r="U1" s="4" t="s">
        <v>436</v>
      </c>
      <c r="V1" s="4" t="s">
        <v>435</v>
      </c>
      <c r="W1" s="4" t="s">
        <v>434</v>
      </c>
      <c r="X1" s="4" t="s">
        <v>433</v>
      </c>
      <c r="Y1" s="4" t="s">
        <v>432</v>
      </c>
      <c r="Z1" s="4" t="s">
        <v>431</v>
      </c>
      <c r="AA1" s="4" t="s">
        <v>430</v>
      </c>
      <c r="AB1" s="4" t="s">
        <v>429</v>
      </c>
      <c r="AC1" s="4" t="s">
        <v>428</v>
      </c>
      <c r="AD1" s="4" t="s">
        <v>427</v>
      </c>
      <c r="AE1" s="4" t="s">
        <v>426</v>
      </c>
      <c r="AF1" s="4" t="s">
        <v>425</v>
      </c>
      <c r="AG1" s="4" t="s">
        <v>424</v>
      </c>
      <c r="AH1" s="4" t="s">
        <v>423</v>
      </c>
      <c r="AI1" s="4" t="s">
        <v>422</v>
      </c>
      <c r="AJ1" s="4" t="s">
        <v>421</v>
      </c>
      <c r="AK1" s="4" t="s">
        <v>420</v>
      </c>
      <c r="AL1" s="4" t="s">
        <v>419</v>
      </c>
      <c r="AM1" s="4" t="s">
        <v>418</v>
      </c>
      <c r="AN1" s="4" t="s">
        <v>417</v>
      </c>
      <c r="AO1" s="4" t="s">
        <v>416</v>
      </c>
      <c r="AP1" s="4" t="s">
        <v>415</v>
      </c>
      <c r="AQ1" s="4" t="s">
        <v>414</v>
      </c>
      <c r="AR1" s="4" t="s">
        <v>413</v>
      </c>
      <c r="AS1" s="4" t="s">
        <v>412</v>
      </c>
      <c r="AT1" s="4" t="s">
        <v>411</v>
      </c>
      <c r="AU1" s="4" t="s">
        <v>410</v>
      </c>
      <c r="AV1" s="4" t="s">
        <v>409</v>
      </c>
      <c r="AW1" s="4" t="s">
        <v>408</v>
      </c>
      <c r="AX1" s="4" t="s">
        <v>407</v>
      </c>
      <c r="AY1" s="4" t="s">
        <v>406</v>
      </c>
      <c r="AZ1" s="4" t="s">
        <v>405</v>
      </c>
      <c r="BA1" s="4" t="s">
        <v>404</v>
      </c>
      <c r="BB1" s="4" t="s">
        <v>403</v>
      </c>
      <c r="BC1" s="4" t="s">
        <v>402</v>
      </c>
      <c r="BD1" s="4" t="s">
        <v>401</v>
      </c>
      <c r="BE1" s="4" t="s">
        <v>400</v>
      </c>
    </row>
    <row r="2" spans="1:57" x14ac:dyDescent="0.25">
      <c r="A2" s="1" t="s">
        <v>1531</v>
      </c>
      <c r="B2" s="1" t="s">
        <v>1532</v>
      </c>
      <c r="C2" s="1" t="s">
        <v>1533</v>
      </c>
      <c r="D2" s="1">
        <v>2025</v>
      </c>
      <c r="E2" s="1" t="b">
        <v>0</v>
      </c>
      <c r="F2" s="1" t="s">
        <v>1381</v>
      </c>
      <c r="G2" s="1" t="s">
        <v>1380</v>
      </c>
      <c r="H2" s="1" t="s">
        <v>22</v>
      </c>
      <c r="I2" s="1" t="s">
        <v>21</v>
      </c>
      <c r="J2" s="1" t="s">
        <v>20</v>
      </c>
      <c r="K2" s="1">
        <v>4530</v>
      </c>
      <c r="L2" s="1">
        <v>4098</v>
      </c>
      <c r="M2" s="1" t="s">
        <v>18</v>
      </c>
      <c r="N2" s="1" t="s">
        <v>1534</v>
      </c>
      <c r="O2" s="1" t="s">
        <v>42</v>
      </c>
      <c r="P2" s="1" t="s">
        <v>467</v>
      </c>
      <c r="Q2" s="1" t="s">
        <v>1526</v>
      </c>
      <c r="R2" s="1" t="s">
        <v>35</v>
      </c>
      <c r="S2" s="1" t="s">
        <v>21</v>
      </c>
      <c r="T2" s="1">
        <v>2</v>
      </c>
      <c r="U2" s="1" t="s">
        <v>14</v>
      </c>
      <c r="V2" s="1">
        <v>1</v>
      </c>
      <c r="W2" s="1">
        <v>78</v>
      </c>
      <c r="X2" s="1">
        <f>78/4451</f>
        <v>1.7524151875982927E-2</v>
      </c>
      <c r="Y2" s="1" t="s">
        <v>39</v>
      </c>
      <c r="Z2" s="1" t="s">
        <v>1543</v>
      </c>
      <c r="AA2" s="1" t="s">
        <v>1544</v>
      </c>
      <c r="AB2" s="1" t="s">
        <v>9</v>
      </c>
      <c r="AC2" s="1" t="s">
        <v>9</v>
      </c>
      <c r="AD2" s="1" t="s">
        <v>8</v>
      </c>
      <c r="AE2" s="1" t="s">
        <v>0</v>
      </c>
      <c r="AF2" s="1" t="s">
        <v>0</v>
      </c>
      <c r="AG2" s="1" t="s">
        <v>26</v>
      </c>
      <c r="AH2" s="1" t="s">
        <v>56</v>
      </c>
      <c r="AI2" s="1" t="s">
        <v>55</v>
      </c>
      <c r="AJ2" s="1"/>
      <c r="AK2" s="1"/>
      <c r="AL2" s="1"/>
      <c r="AM2" s="1"/>
      <c r="AN2" s="1" t="s">
        <v>54</v>
      </c>
      <c r="AO2" s="1" t="s">
        <v>53</v>
      </c>
      <c r="AP2" s="1" t="s">
        <v>35</v>
      </c>
      <c r="AQ2" s="1" t="s">
        <v>1</v>
      </c>
      <c r="AR2" s="1">
        <f>EXP(0.3285)</f>
        <v>1.3888832403281028</v>
      </c>
      <c r="AS2" s="18">
        <f>EXP(0.122855716627776)</f>
        <v>1.1307212649002749</v>
      </c>
      <c r="AT2" s="18">
        <f>EXP(0.878365720066153)</f>
        <v>2.406962839252238</v>
      </c>
      <c r="AU2" s="1" t="s">
        <v>0</v>
      </c>
      <c r="AV2" s="1"/>
      <c r="AW2" s="1"/>
      <c r="AX2" s="1"/>
      <c r="AY2" s="1" t="s">
        <v>0</v>
      </c>
      <c r="AZ2" s="1" t="s">
        <v>1</v>
      </c>
      <c r="BA2" s="1">
        <f>EXP(0.3285)</f>
        <v>1.3888832403281028</v>
      </c>
      <c r="BB2" s="18">
        <f>EXP(0.122855716627776)</f>
        <v>1.1307212649002749</v>
      </c>
      <c r="BC2" s="18">
        <f>EXP(0.878365720066153)</f>
        <v>2.406962839252238</v>
      </c>
      <c r="BD2" s="1">
        <v>2.63E-2</v>
      </c>
      <c r="BE2" s="1" t="s">
        <v>1549</v>
      </c>
    </row>
    <row r="3" spans="1:57" x14ac:dyDescent="0.25">
      <c r="A3" s="1" t="s">
        <v>1531</v>
      </c>
      <c r="B3" s="1" t="s">
        <v>1532</v>
      </c>
      <c r="C3" s="1" t="s">
        <v>1533</v>
      </c>
      <c r="D3" s="1">
        <v>2025</v>
      </c>
      <c r="E3" s="1" t="b">
        <v>0</v>
      </c>
      <c r="F3" s="1" t="s">
        <v>1381</v>
      </c>
      <c r="G3" s="1" t="s">
        <v>1380</v>
      </c>
      <c r="H3" s="1" t="s">
        <v>22</v>
      </c>
      <c r="I3" s="1" t="s">
        <v>21</v>
      </c>
      <c r="J3" s="1" t="s">
        <v>20</v>
      </c>
      <c r="K3" s="1">
        <v>4530</v>
      </c>
      <c r="L3" s="1">
        <v>4487</v>
      </c>
      <c r="M3" s="1" t="s">
        <v>18</v>
      </c>
      <c r="N3" s="1" t="s">
        <v>1534</v>
      </c>
      <c r="O3" s="1" t="s">
        <v>42</v>
      </c>
      <c r="P3" s="1" t="s">
        <v>467</v>
      </c>
      <c r="Q3" s="1" t="s">
        <v>1526</v>
      </c>
      <c r="R3" s="1" t="s">
        <v>35</v>
      </c>
      <c r="S3" s="1" t="s">
        <v>21</v>
      </c>
      <c r="T3" s="1">
        <v>2</v>
      </c>
      <c r="U3" s="1" t="s">
        <v>14</v>
      </c>
      <c r="V3" s="1">
        <v>1</v>
      </c>
      <c r="W3" s="1">
        <v>78</v>
      </c>
      <c r="X3" s="1">
        <f>78/4451</f>
        <v>1.7524151875982927E-2</v>
      </c>
      <c r="Y3" s="1" t="s">
        <v>39</v>
      </c>
      <c r="Z3" s="1" t="s">
        <v>1543</v>
      </c>
      <c r="AA3" s="1" t="s">
        <v>1544</v>
      </c>
      <c r="AB3" s="1" t="s">
        <v>9</v>
      </c>
      <c r="AC3" s="1" t="s">
        <v>9</v>
      </c>
      <c r="AD3" s="1" t="s">
        <v>8</v>
      </c>
      <c r="AE3" s="1" t="s">
        <v>0</v>
      </c>
      <c r="AF3" s="1" t="s">
        <v>0</v>
      </c>
      <c r="AG3" s="1" t="s">
        <v>26</v>
      </c>
      <c r="AH3" s="1" t="s">
        <v>56</v>
      </c>
      <c r="AI3" s="1" t="s">
        <v>721</v>
      </c>
      <c r="AJ3" s="1"/>
      <c r="AK3" s="1"/>
      <c r="AL3" s="1"/>
      <c r="AM3" s="1"/>
      <c r="AN3" s="1" t="s">
        <v>9</v>
      </c>
      <c r="AO3" s="1" t="s">
        <v>9</v>
      </c>
      <c r="AP3" s="1" t="s">
        <v>35</v>
      </c>
      <c r="AQ3" s="1" t="s">
        <v>1</v>
      </c>
      <c r="AR3" s="1">
        <f>EXP(0.3584)</f>
        <v>1.4310379211805995</v>
      </c>
      <c r="AS3" s="18">
        <f>EXP(0.14886790343364)</f>
        <v>1.1605196784186818</v>
      </c>
      <c r="AT3" s="18">
        <f>EXP(0.862849257880891)</f>
        <v>2.3699035494418776</v>
      </c>
      <c r="AU3" s="1" t="s">
        <v>0</v>
      </c>
      <c r="AV3" s="1"/>
      <c r="AW3" s="1"/>
      <c r="AX3" s="1"/>
      <c r="AY3" s="1" t="s">
        <v>0</v>
      </c>
      <c r="AZ3" s="1" t="s">
        <v>1</v>
      </c>
      <c r="BA3" s="1">
        <f>EXP(0.3584)</f>
        <v>1.4310379211805995</v>
      </c>
      <c r="BB3" s="18">
        <f>EXP(0.14886790343364)</f>
        <v>1.1605196784186818</v>
      </c>
      <c r="BC3" s="18">
        <f>EXP(0.862849257880891)</f>
        <v>2.3699035494418776</v>
      </c>
      <c r="BD3" s="1">
        <v>2.1899999999999999E-2</v>
      </c>
      <c r="BE3" s="1" t="s">
        <v>1549</v>
      </c>
    </row>
    <row r="4" spans="1:57" x14ac:dyDescent="0.25">
      <c r="A4" s="1" t="s">
        <v>1553</v>
      </c>
      <c r="B4" s="1" t="s">
        <v>1552</v>
      </c>
      <c r="C4" s="1" t="s">
        <v>1554</v>
      </c>
      <c r="D4" s="1">
        <v>2025</v>
      </c>
      <c r="E4" s="1" t="b">
        <v>0</v>
      </c>
      <c r="F4" s="1" t="s">
        <v>1381</v>
      </c>
      <c r="G4" s="1" t="s">
        <v>1380</v>
      </c>
      <c r="H4" s="1" t="s">
        <v>22</v>
      </c>
      <c r="I4" s="1" t="s">
        <v>21</v>
      </c>
      <c r="J4" s="1" t="s">
        <v>20</v>
      </c>
      <c r="K4" s="1">
        <v>2567</v>
      </c>
      <c r="L4" s="1">
        <v>2565</v>
      </c>
      <c r="M4" s="1" t="s">
        <v>18</v>
      </c>
      <c r="N4" s="1" t="s">
        <v>1555</v>
      </c>
      <c r="O4" s="1" t="s">
        <v>42</v>
      </c>
      <c r="P4" s="1" t="s">
        <v>15</v>
      </c>
      <c r="Q4" s="1" t="s">
        <v>1526</v>
      </c>
      <c r="R4" s="1" t="s">
        <v>2</v>
      </c>
      <c r="S4" s="1" t="s">
        <v>21</v>
      </c>
      <c r="T4" s="1">
        <v>1</v>
      </c>
      <c r="U4" s="1" t="s">
        <v>14</v>
      </c>
      <c r="V4" s="1">
        <v>1</v>
      </c>
      <c r="W4" s="1">
        <v>676</v>
      </c>
      <c r="X4" s="1">
        <v>0.26355000000000001</v>
      </c>
      <c r="Y4" s="1" t="s">
        <v>80</v>
      </c>
      <c r="Z4" s="1" t="s">
        <v>1558</v>
      </c>
      <c r="AA4" s="1" t="s">
        <v>1559</v>
      </c>
      <c r="AB4" s="1" t="s">
        <v>14</v>
      </c>
      <c r="AC4" s="1" t="s">
        <v>53</v>
      </c>
      <c r="AD4" s="1" t="s">
        <v>8</v>
      </c>
      <c r="AE4" s="1">
        <v>1341</v>
      </c>
      <c r="AF4" s="1">
        <v>0.52281</v>
      </c>
      <c r="AG4" s="1" t="s">
        <v>26</v>
      </c>
      <c r="AH4" s="1" t="s">
        <v>36</v>
      </c>
      <c r="AI4" s="1" t="s">
        <v>56</v>
      </c>
      <c r="AJ4" s="1"/>
      <c r="AK4" s="1"/>
      <c r="AL4" s="1"/>
      <c r="AM4" s="1"/>
      <c r="AN4" s="1"/>
      <c r="AO4" s="1"/>
      <c r="AP4" s="1" t="s">
        <v>2</v>
      </c>
      <c r="AQ4" s="1" t="s">
        <v>1</v>
      </c>
      <c r="AR4" s="1">
        <v>1.1499999999999999</v>
      </c>
      <c r="AS4" s="1">
        <v>0.97</v>
      </c>
      <c r="AT4" s="1">
        <v>1.37</v>
      </c>
      <c r="AU4" s="1" t="s">
        <v>1</v>
      </c>
      <c r="AV4" s="1">
        <v>1.1499999999999999</v>
      </c>
      <c r="AW4" s="1">
        <v>0.97</v>
      </c>
      <c r="AX4" s="1">
        <v>1.37</v>
      </c>
      <c r="AY4" s="1">
        <v>0.115</v>
      </c>
      <c r="AZ4" s="1" t="s">
        <v>0</v>
      </c>
      <c r="BA4" s="1"/>
      <c r="BB4" s="1"/>
      <c r="BC4" s="1"/>
      <c r="BD4" s="1"/>
      <c r="BE4" s="1" t="s">
        <v>0</v>
      </c>
    </row>
    <row r="5" spans="1:57" x14ac:dyDescent="0.25">
      <c r="A5" s="1" t="s">
        <v>1553</v>
      </c>
      <c r="B5" s="1" t="s">
        <v>1552</v>
      </c>
      <c r="C5" s="1" t="s">
        <v>1554</v>
      </c>
      <c r="D5" s="1">
        <v>2025</v>
      </c>
      <c r="E5" s="1" t="b">
        <v>0</v>
      </c>
      <c r="F5" s="1" t="s">
        <v>1381</v>
      </c>
      <c r="G5" s="1" t="s">
        <v>1380</v>
      </c>
      <c r="H5" s="1" t="s">
        <v>22</v>
      </c>
      <c r="I5" s="1" t="s">
        <v>21</v>
      </c>
      <c r="J5" s="1" t="s">
        <v>20</v>
      </c>
      <c r="K5" s="1">
        <v>2567</v>
      </c>
      <c r="L5" s="1">
        <v>2565</v>
      </c>
      <c r="M5" s="1" t="s">
        <v>18</v>
      </c>
      <c r="N5" s="1" t="s">
        <v>1555</v>
      </c>
      <c r="O5" s="1" t="s">
        <v>42</v>
      </c>
      <c r="P5" s="1" t="s">
        <v>15</v>
      </c>
      <c r="Q5" s="1" t="s">
        <v>1526</v>
      </c>
      <c r="R5" s="1" t="s">
        <v>2</v>
      </c>
      <c r="S5" s="1" t="s">
        <v>21</v>
      </c>
      <c r="T5" s="1">
        <v>1</v>
      </c>
      <c r="U5" s="1" t="s">
        <v>14</v>
      </c>
      <c r="V5" s="1">
        <v>1</v>
      </c>
      <c r="W5" s="1">
        <v>676</v>
      </c>
      <c r="X5" s="1">
        <v>0.26355000000000001</v>
      </c>
      <c r="Y5" s="1" t="s">
        <v>11</v>
      </c>
      <c r="Z5" s="1" t="s">
        <v>1561</v>
      </c>
      <c r="AA5" s="1" t="s">
        <v>1562</v>
      </c>
      <c r="AB5" s="1" t="s">
        <v>14</v>
      </c>
      <c r="AC5" s="1" t="s">
        <v>53</v>
      </c>
      <c r="AD5" s="1" t="s">
        <v>8</v>
      </c>
      <c r="AE5" s="1">
        <v>975</v>
      </c>
      <c r="AF5" s="1">
        <v>0.38011695906432746</v>
      </c>
      <c r="AG5" s="1" t="s">
        <v>26</v>
      </c>
      <c r="AH5" s="1" t="s">
        <v>36</v>
      </c>
      <c r="AI5" s="1" t="s">
        <v>56</v>
      </c>
      <c r="AJ5" s="1"/>
      <c r="AK5" s="1"/>
      <c r="AL5" s="1"/>
      <c r="AM5" s="1"/>
      <c r="AN5" s="1"/>
      <c r="AO5" s="1"/>
      <c r="AP5" s="1" t="s">
        <v>2</v>
      </c>
      <c r="AQ5" s="1" t="s">
        <v>1</v>
      </c>
      <c r="AR5" s="1">
        <v>1</v>
      </c>
      <c r="AS5" s="1">
        <v>0.83</v>
      </c>
      <c r="AT5" s="1">
        <v>1.2</v>
      </c>
      <c r="AU5" s="1" t="s">
        <v>1</v>
      </c>
      <c r="AV5" s="1">
        <v>1</v>
      </c>
      <c r="AW5" s="1">
        <v>0.83</v>
      </c>
      <c r="AX5" s="1">
        <v>1.2</v>
      </c>
      <c r="AY5" s="1">
        <v>0.997</v>
      </c>
      <c r="AZ5" s="1" t="s">
        <v>0</v>
      </c>
      <c r="BA5" s="1"/>
      <c r="BB5" s="1"/>
      <c r="BC5" s="1"/>
      <c r="BD5" s="1"/>
      <c r="BE5" s="1" t="s">
        <v>0</v>
      </c>
    </row>
    <row r="6" spans="1:57" x14ac:dyDescent="0.25">
      <c r="A6" s="1" t="s">
        <v>1553</v>
      </c>
      <c r="B6" s="1" t="s">
        <v>1552</v>
      </c>
      <c r="C6" s="1" t="s">
        <v>1554</v>
      </c>
      <c r="D6" s="1">
        <v>2025</v>
      </c>
      <c r="E6" s="1" t="b">
        <v>0</v>
      </c>
      <c r="F6" s="1" t="s">
        <v>1381</v>
      </c>
      <c r="G6" s="1" t="s">
        <v>1380</v>
      </c>
      <c r="H6" s="1" t="s">
        <v>22</v>
      </c>
      <c r="I6" s="1" t="s">
        <v>21</v>
      </c>
      <c r="J6" s="1" t="s">
        <v>20</v>
      </c>
      <c r="K6" s="1">
        <v>2567</v>
      </c>
      <c r="L6" s="1">
        <v>2565</v>
      </c>
      <c r="M6" s="1" t="s">
        <v>18</v>
      </c>
      <c r="N6" s="1" t="s">
        <v>1555</v>
      </c>
      <c r="O6" s="1" t="s">
        <v>42</v>
      </c>
      <c r="P6" s="1" t="s">
        <v>15</v>
      </c>
      <c r="Q6" s="1" t="s">
        <v>1526</v>
      </c>
      <c r="R6" s="1" t="s">
        <v>2</v>
      </c>
      <c r="S6" s="1" t="s">
        <v>21</v>
      </c>
      <c r="T6" s="1">
        <v>1</v>
      </c>
      <c r="U6" s="1" t="s">
        <v>14</v>
      </c>
      <c r="V6" s="1">
        <v>1</v>
      </c>
      <c r="W6" s="1">
        <v>676</v>
      </c>
      <c r="X6" s="1">
        <v>0.26355000000000001</v>
      </c>
      <c r="Y6" s="1" t="s">
        <v>1563</v>
      </c>
      <c r="Z6" t="s">
        <v>1564</v>
      </c>
      <c r="AA6" t="s">
        <v>1564</v>
      </c>
      <c r="AB6" s="1" t="s">
        <v>14</v>
      </c>
      <c r="AC6" s="1" t="s">
        <v>53</v>
      </c>
      <c r="AD6" s="1" t="s">
        <v>8</v>
      </c>
      <c r="AE6" s="1">
        <v>633</v>
      </c>
      <c r="AF6" s="1">
        <v>0.24678362573099416</v>
      </c>
      <c r="AG6" s="1" t="s">
        <v>26</v>
      </c>
      <c r="AH6" s="1" t="s">
        <v>36</v>
      </c>
      <c r="AI6" s="1" t="s">
        <v>56</v>
      </c>
      <c r="AJ6" s="1"/>
      <c r="AK6" s="1"/>
      <c r="AL6" s="1"/>
      <c r="AM6" s="1"/>
      <c r="AN6" s="1"/>
      <c r="AO6" s="1"/>
      <c r="AP6" s="1" t="s">
        <v>2</v>
      </c>
      <c r="AQ6" s="1" t="s">
        <v>1</v>
      </c>
      <c r="AR6" s="1">
        <v>0.89</v>
      </c>
      <c r="AS6" s="1">
        <v>0.72</v>
      </c>
      <c r="AT6" s="1">
        <v>1.0900000000000001</v>
      </c>
      <c r="AU6" s="1" t="s">
        <v>1</v>
      </c>
      <c r="AV6" s="1">
        <v>0.89</v>
      </c>
      <c r="AW6" s="1">
        <v>0.72</v>
      </c>
      <c r="AX6" s="1">
        <v>1.0900000000000001</v>
      </c>
      <c r="AY6" s="1">
        <v>0.26100000000000001</v>
      </c>
      <c r="AZ6" s="1" t="s">
        <v>0</v>
      </c>
      <c r="BA6" s="1"/>
      <c r="BB6" s="1"/>
      <c r="BC6" s="1"/>
      <c r="BD6" s="1"/>
      <c r="BE6" s="1" t="s">
        <v>0</v>
      </c>
    </row>
    <row r="7" spans="1:57" x14ac:dyDescent="0.25">
      <c r="A7" s="1" t="s">
        <v>1565</v>
      </c>
      <c r="B7" s="1" t="s">
        <v>1566</v>
      </c>
      <c r="C7" s="1" t="s">
        <v>1567</v>
      </c>
      <c r="D7" s="1">
        <v>2025</v>
      </c>
      <c r="E7" s="1" t="b">
        <v>0</v>
      </c>
      <c r="F7" s="1" t="s">
        <v>1381</v>
      </c>
      <c r="G7" s="1" t="s">
        <v>1380</v>
      </c>
      <c r="H7" s="1" t="s">
        <v>22</v>
      </c>
      <c r="I7" s="1" t="s">
        <v>21</v>
      </c>
      <c r="J7" s="1" t="s">
        <v>20</v>
      </c>
      <c r="K7" s="1">
        <v>223</v>
      </c>
      <c r="L7" s="1">
        <v>223</v>
      </c>
      <c r="M7" s="1" t="s">
        <v>18</v>
      </c>
      <c r="N7" s="1" t="s">
        <v>1568</v>
      </c>
      <c r="O7" s="1" t="s">
        <v>1569</v>
      </c>
      <c r="P7" s="1" t="s">
        <v>15</v>
      </c>
      <c r="Q7" s="1" t="s">
        <v>1526</v>
      </c>
      <c r="R7" s="1" t="s">
        <v>2</v>
      </c>
      <c r="S7" s="1" t="s">
        <v>21</v>
      </c>
      <c r="T7" s="1">
        <v>1</v>
      </c>
      <c r="U7" s="1" t="s">
        <v>112</v>
      </c>
      <c r="V7" s="1">
        <v>1</v>
      </c>
      <c r="W7" s="1">
        <v>161</v>
      </c>
      <c r="X7" s="1">
        <f>161/217</f>
        <v>0.74193548387096775</v>
      </c>
      <c r="Y7" s="1" t="s">
        <v>39</v>
      </c>
      <c r="Z7" s="1" t="s">
        <v>1570</v>
      </c>
      <c r="AA7" s="1" t="s">
        <v>1570</v>
      </c>
      <c r="AB7" s="1" t="s">
        <v>9</v>
      </c>
      <c r="AC7" s="1" t="s">
        <v>9</v>
      </c>
      <c r="AD7" s="1" t="s">
        <v>1571</v>
      </c>
      <c r="AE7" s="1">
        <v>118</v>
      </c>
      <c r="AF7" s="1">
        <v>0.54377880184331795</v>
      </c>
      <c r="AG7" s="1" t="s">
        <v>26</v>
      </c>
      <c r="AH7" s="1" t="s">
        <v>36</v>
      </c>
      <c r="AI7" s="1" t="s">
        <v>56</v>
      </c>
      <c r="AJ7" s="1"/>
      <c r="AK7" s="1"/>
      <c r="AL7" s="1"/>
      <c r="AM7" s="1"/>
      <c r="AN7" s="1"/>
      <c r="AO7" s="1"/>
      <c r="AP7" s="1" t="s">
        <v>2</v>
      </c>
      <c r="AQ7" s="1" t="s">
        <v>1</v>
      </c>
      <c r="AR7" s="1">
        <v>0.78</v>
      </c>
      <c r="AS7" s="1">
        <v>0.42</v>
      </c>
      <c r="AT7" s="1">
        <v>1.44</v>
      </c>
      <c r="AU7" s="1" t="s">
        <v>1</v>
      </c>
      <c r="AV7" s="1">
        <v>0.78</v>
      </c>
      <c r="AW7" s="1">
        <v>0.42</v>
      </c>
      <c r="AX7" s="1">
        <v>1.44</v>
      </c>
      <c r="AY7" s="1">
        <v>0.42799999999999999</v>
      </c>
      <c r="AZ7" s="1" t="s">
        <v>0</v>
      </c>
      <c r="BA7" s="1"/>
      <c r="BB7" s="1"/>
      <c r="BC7" s="1"/>
      <c r="BD7" s="1"/>
      <c r="BE7" s="1" t="s">
        <v>0</v>
      </c>
    </row>
    <row r="21" spans="1:355" s="2" customFormat="1" x14ac:dyDescent="0.25">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row>
    <row r="22" spans="1:355" s="2" customFormat="1" x14ac:dyDescent="0.2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row>
    <row r="23" spans="1:355" s="2" customFormat="1" x14ac:dyDescent="0.25">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row>
    <row r="24" spans="1:355" s="2" customFormat="1" x14ac:dyDescent="0.25">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row>
  </sheetData>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925F5-1D38-4682-91CC-4F7407E0797C}">
  <dimension ref="A1:LD222"/>
  <sheetViews>
    <sheetView zoomScale="115" zoomScaleNormal="115" workbookViewId="0">
      <pane xSplit="1" ySplit="1" topLeftCell="F197" activePane="bottomRight" state="frozen"/>
      <selection pane="topRight" activeCell="B1" sqref="B1"/>
      <selection pane="bottomLeft" activeCell="A2" sqref="A2"/>
      <selection pane="bottomRight" activeCell="R222" sqref="O1:R222"/>
    </sheetView>
  </sheetViews>
  <sheetFormatPr defaultColWidth="8.7109375" defaultRowHeight="15" x14ac:dyDescent="0.25"/>
  <cols>
    <col min="1" max="1" width="26.42578125" bestFit="1" customWidth="1"/>
    <col min="2" max="2" width="21.85546875" customWidth="1"/>
    <col min="5" max="6" width="10.42578125" customWidth="1"/>
    <col min="7" max="7" width="46.42578125" customWidth="1"/>
    <col min="10" max="11" width="13.7109375" customWidth="1"/>
    <col min="12" max="12" width="12.7109375" customWidth="1"/>
    <col min="13" max="13" width="12.42578125" customWidth="1"/>
    <col min="18" max="18" width="11.140625" bestFit="1" customWidth="1"/>
    <col min="19" max="19" width="10.28515625" customWidth="1"/>
    <col min="20" max="20" width="12.28515625" customWidth="1"/>
    <col min="21" max="21" width="10.7109375" customWidth="1"/>
    <col min="22" max="22" width="15.28515625" customWidth="1"/>
    <col min="23" max="23" width="15.42578125" customWidth="1"/>
    <col min="24" max="24" width="10.140625" customWidth="1"/>
    <col min="25" max="26" width="9.42578125" customWidth="1"/>
    <col min="27" max="27" width="18.28515625" customWidth="1"/>
    <col min="28" max="28" width="91.7109375" customWidth="1"/>
    <col min="29" max="29" width="68.28515625" bestFit="1" customWidth="1"/>
    <col min="30" max="30" width="21.140625" customWidth="1"/>
    <col min="31" max="31" width="16.140625" customWidth="1"/>
    <col min="32" max="32" width="12.28515625" customWidth="1"/>
    <col min="33" max="35" width="14.28515625" customWidth="1"/>
    <col min="36" max="36" width="17.7109375" customWidth="1"/>
    <col min="37" max="37" width="22.42578125" customWidth="1"/>
    <col min="38" max="38" width="13.28515625" customWidth="1"/>
    <col min="39" max="39" width="24.42578125" customWidth="1"/>
    <col min="41" max="41" width="21.7109375" customWidth="1"/>
    <col min="42" max="42" width="20.42578125" customWidth="1"/>
    <col min="43" max="43" width="15.7109375" customWidth="1"/>
    <col min="45" max="45" width="18.28515625" customWidth="1"/>
    <col min="46" max="46" width="12" customWidth="1"/>
    <col min="47" max="48" width="17.7109375" customWidth="1"/>
    <col min="49" max="49" width="11.42578125" customWidth="1"/>
    <col min="50" max="50" width="10.42578125" customWidth="1"/>
    <col min="51" max="51" width="10.28515625" customWidth="1"/>
    <col min="52" max="52" width="10.42578125" customWidth="1"/>
    <col min="53" max="53" width="9.7109375" customWidth="1"/>
    <col min="54" max="54" width="10.7109375" customWidth="1"/>
    <col min="56" max="57" width="10.7109375" customWidth="1"/>
    <col min="58" max="58" width="10.28515625" customWidth="1"/>
    <col min="59" max="59" width="234.7109375" bestFit="1" customWidth="1"/>
    <col min="60" max="60" width="13.28515625" customWidth="1"/>
    <col min="61" max="62" width="12.7109375" customWidth="1"/>
    <col min="63" max="63" width="11" customWidth="1"/>
    <col min="64" max="65" width="13.28515625" customWidth="1"/>
    <col min="66" max="66" width="14.42578125" customWidth="1"/>
    <col min="67" max="68" width="20.42578125" customWidth="1"/>
    <col min="69" max="69" width="13.28515625" customWidth="1"/>
    <col min="70" max="70" width="11" customWidth="1"/>
    <col min="71" max="71" width="18.28515625" customWidth="1"/>
    <col min="72" max="72" width="16.28515625" customWidth="1"/>
    <col min="73" max="73" width="15" customWidth="1"/>
    <col min="74" max="74" width="15.140625" customWidth="1"/>
    <col min="75" max="75" width="12.7109375" customWidth="1"/>
    <col min="76" max="76" width="14.7109375" customWidth="1"/>
    <col min="77" max="77" width="14.28515625" customWidth="1"/>
    <col min="78" max="78" width="14" customWidth="1"/>
    <col min="79" max="79" width="14.28515625" customWidth="1"/>
    <col min="80" max="80" width="10.7109375" customWidth="1"/>
    <col min="81" max="81" width="12.7109375" customWidth="1"/>
    <col min="82" max="82" width="15.28515625" customWidth="1"/>
    <col min="83" max="84" width="10.42578125" customWidth="1"/>
    <col min="86" max="86" width="18.7109375" bestFit="1" customWidth="1"/>
  </cols>
  <sheetData>
    <row r="1" spans="1:18" s="3" customFormat="1" x14ac:dyDescent="0.25">
      <c r="A1" s="4" t="s">
        <v>448</v>
      </c>
      <c r="B1" s="4" t="s">
        <v>447</v>
      </c>
      <c r="C1" s="4" t="s">
        <v>446</v>
      </c>
      <c r="D1" s="4" t="s">
        <v>445</v>
      </c>
      <c r="E1" s="4" t="s">
        <v>442</v>
      </c>
      <c r="F1" s="4" t="s">
        <v>441</v>
      </c>
      <c r="G1" s="4" t="s">
        <v>440</v>
      </c>
      <c r="H1" s="4" t="s">
        <v>432</v>
      </c>
      <c r="I1" s="4" t="s">
        <v>431</v>
      </c>
      <c r="J1" s="4" t="s">
        <v>430</v>
      </c>
      <c r="K1" s="4" t="s">
        <v>429</v>
      </c>
      <c r="L1" s="4" t="s">
        <v>428</v>
      </c>
      <c r="M1" s="4" t="s">
        <v>427</v>
      </c>
      <c r="N1" s="4" t="s">
        <v>415</v>
      </c>
      <c r="O1" s="4" t="s">
        <v>1519</v>
      </c>
      <c r="P1" s="4" t="s">
        <v>1520</v>
      </c>
      <c r="Q1" s="4" t="s">
        <v>1521</v>
      </c>
      <c r="R1" s="4" t="s">
        <v>437</v>
      </c>
    </row>
    <row r="2" spans="1:18" x14ac:dyDescent="0.25">
      <c r="A2" s="1" t="s">
        <v>399</v>
      </c>
      <c r="B2" s="1" t="s">
        <v>398</v>
      </c>
      <c r="C2" s="1" t="s">
        <v>397</v>
      </c>
      <c r="D2" s="1">
        <v>2022</v>
      </c>
      <c r="E2" s="1" t="s">
        <v>21</v>
      </c>
      <c r="F2" s="1" t="s">
        <v>20</v>
      </c>
      <c r="G2" s="1" t="s">
        <v>18</v>
      </c>
      <c r="H2" s="1" t="s">
        <v>80</v>
      </c>
      <c r="I2" s="1" t="s">
        <v>393</v>
      </c>
      <c r="J2" s="1" t="s">
        <v>80</v>
      </c>
      <c r="K2" s="1" t="s">
        <v>41</v>
      </c>
      <c r="L2" s="1" t="s">
        <v>53</v>
      </c>
      <c r="M2" s="1" t="s">
        <v>8</v>
      </c>
      <c r="N2" s="1" t="s">
        <v>35</v>
      </c>
      <c r="O2" s="1">
        <v>1</v>
      </c>
      <c r="P2" s="1">
        <f>IF(Table13[[#This Row],[design]]="Cross-sectional",0,1)</f>
        <v>0</v>
      </c>
      <c r="Q2" s="1">
        <f>IF(Table13[[#This Row],[adj]]="Adjusted",1,0)</f>
        <v>1</v>
      </c>
      <c r="R2" s="1">
        <f>SUM(Table13[[#This Row],[representative]:[adjust]])</f>
        <v>2</v>
      </c>
    </row>
    <row r="3" spans="1:18" x14ac:dyDescent="0.25">
      <c r="A3" s="1" t="s">
        <v>389</v>
      </c>
      <c r="B3" s="1" t="s">
        <v>388</v>
      </c>
      <c r="C3" s="1" t="s">
        <v>387</v>
      </c>
      <c r="D3" s="1">
        <v>2013</v>
      </c>
      <c r="E3" s="1" t="s">
        <v>21</v>
      </c>
      <c r="F3" s="1" t="s">
        <v>386</v>
      </c>
      <c r="G3" s="1" t="s">
        <v>148</v>
      </c>
      <c r="H3" s="1" t="s">
        <v>39</v>
      </c>
      <c r="I3" s="1" t="s">
        <v>382</v>
      </c>
      <c r="J3" s="1" t="s">
        <v>381</v>
      </c>
      <c r="K3" s="1" t="s">
        <v>67</v>
      </c>
      <c r="L3" s="1" t="s">
        <v>53</v>
      </c>
      <c r="M3" s="1" t="s">
        <v>63</v>
      </c>
      <c r="N3" s="1" t="s">
        <v>2</v>
      </c>
      <c r="O3" s="1">
        <v>0</v>
      </c>
      <c r="P3" s="1">
        <f>IF(Table13[[#This Row],[design]]="Cross-sectional",0,1)</f>
        <v>0</v>
      </c>
      <c r="Q3" s="1">
        <f>IF(Table13[[#This Row],[adj]]="Adjusted",1,0)</f>
        <v>0</v>
      </c>
      <c r="R3" s="1">
        <f>SUM(Table13[[#This Row],[representative]:[adjust]])</f>
        <v>0</v>
      </c>
    </row>
    <row r="4" spans="1:18" x14ac:dyDescent="0.25">
      <c r="A4" s="1" t="s">
        <v>379</v>
      </c>
      <c r="B4" s="1" t="s">
        <v>378</v>
      </c>
      <c r="C4" s="1" t="s">
        <v>377</v>
      </c>
      <c r="D4" s="1">
        <v>2021</v>
      </c>
      <c r="E4" s="1" t="s">
        <v>21</v>
      </c>
      <c r="F4" s="1" t="s">
        <v>20</v>
      </c>
      <c r="G4" s="1" t="s">
        <v>18</v>
      </c>
      <c r="H4" s="1" t="s">
        <v>513</v>
      </c>
      <c r="I4" s="1" t="s">
        <v>1427</v>
      </c>
      <c r="J4" s="1" t="s">
        <v>1427</v>
      </c>
      <c r="K4" s="1" t="s">
        <v>41</v>
      </c>
      <c r="L4" s="1" t="s">
        <v>53</v>
      </c>
      <c r="M4" s="1" t="s">
        <v>8</v>
      </c>
      <c r="N4" s="1" t="s">
        <v>2</v>
      </c>
      <c r="O4" s="1">
        <v>1</v>
      </c>
      <c r="P4" s="1">
        <f>IF(Table13[[#This Row],[design]]="Cross-sectional",0,1)</f>
        <v>0</v>
      </c>
      <c r="Q4" s="1">
        <f>IF(Table13[[#This Row],[adj]]="Adjusted",1,0)</f>
        <v>0</v>
      </c>
      <c r="R4" s="1">
        <f>SUM(Table13[[#This Row],[representative]:[adjust]])</f>
        <v>1</v>
      </c>
    </row>
    <row r="5" spans="1:18" x14ac:dyDescent="0.25">
      <c r="A5" s="1" t="s">
        <v>372</v>
      </c>
      <c r="B5" s="1" t="s">
        <v>371</v>
      </c>
      <c r="C5" s="1" t="s">
        <v>370</v>
      </c>
      <c r="D5" s="1">
        <v>2014</v>
      </c>
      <c r="E5" s="1" t="s">
        <v>21</v>
      </c>
      <c r="F5" s="1" t="s">
        <v>20</v>
      </c>
      <c r="G5" s="1" t="s">
        <v>1428</v>
      </c>
      <c r="H5" s="1" t="s">
        <v>39</v>
      </c>
      <c r="I5" s="1" t="s">
        <v>366</v>
      </c>
      <c r="J5" s="1" t="s">
        <v>365</v>
      </c>
      <c r="K5" s="1" t="s">
        <v>9</v>
      </c>
      <c r="L5" s="1" t="s">
        <v>9</v>
      </c>
      <c r="M5" s="1" t="s">
        <v>8</v>
      </c>
      <c r="N5" s="1" t="s">
        <v>35</v>
      </c>
      <c r="O5" s="1">
        <v>1</v>
      </c>
      <c r="P5" s="1">
        <f>IF(Table13[[#This Row],[design]]="Cross-sectional",0,1)</f>
        <v>0</v>
      </c>
      <c r="Q5" s="1">
        <f>IF(Table13[[#This Row],[adj]]="Adjusted",1,0)</f>
        <v>1</v>
      </c>
      <c r="R5" s="1">
        <f>SUM(Table13[[#This Row],[representative]:[adjust]])</f>
        <v>2</v>
      </c>
    </row>
    <row r="6" spans="1:18" x14ac:dyDescent="0.25">
      <c r="A6" s="1" t="s">
        <v>362</v>
      </c>
      <c r="B6" s="1" t="s">
        <v>361</v>
      </c>
      <c r="C6" s="1" t="s">
        <v>360</v>
      </c>
      <c r="D6" s="1">
        <v>2022</v>
      </c>
      <c r="E6" s="1" t="s">
        <v>21</v>
      </c>
      <c r="F6" s="1" t="s">
        <v>20</v>
      </c>
      <c r="G6" s="1" t="s">
        <v>278</v>
      </c>
      <c r="H6" s="1" t="s">
        <v>11</v>
      </c>
      <c r="I6" s="1" t="s">
        <v>355</v>
      </c>
      <c r="J6" s="1" t="s">
        <v>355</v>
      </c>
      <c r="K6" s="1" t="s">
        <v>9</v>
      </c>
      <c r="L6" s="1" t="s">
        <v>9</v>
      </c>
      <c r="M6" s="1" t="s">
        <v>8</v>
      </c>
      <c r="N6" s="1" t="s">
        <v>35</v>
      </c>
      <c r="O6" s="1">
        <v>1</v>
      </c>
      <c r="P6" s="1">
        <f>IF(Table13[[#This Row],[design]]="Cross-sectional",0,1)</f>
        <v>0</v>
      </c>
      <c r="Q6" s="1">
        <f>IF(Table13[[#This Row],[adj]]="Adjusted",1,0)</f>
        <v>1</v>
      </c>
      <c r="R6" s="1">
        <f>SUM(Table13[[#This Row],[representative]:[adjust]])</f>
        <v>2</v>
      </c>
    </row>
    <row r="7" spans="1:18" x14ac:dyDescent="0.25">
      <c r="A7" s="1" t="s">
        <v>346</v>
      </c>
      <c r="B7" s="1" t="s">
        <v>345</v>
      </c>
      <c r="C7" s="1" t="s">
        <v>344</v>
      </c>
      <c r="D7" s="1">
        <v>2019</v>
      </c>
      <c r="E7" s="1" t="s">
        <v>21</v>
      </c>
      <c r="F7" s="1" t="s">
        <v>20</v>
      </c>
      <c r="G7" s="1" t="s">
        <v>18</v>
      </c>
      <c r="H7" s="1" t="s">
        <v>80</v>
      </c>
      <c r="I7" s="1" t="s">
        <v>317</v>
      </c>
      <c r="J7" s="1" t="s">
        <v>341</v>
      </c>
      <c r="K7" s="1" t="s">
        <v>41</v>
      </c>
      <c r="L7" s="1" t="s">
        <v>53</v>
      </c>
      <c r="M7" s="1" t="s">
        <v>340</v>
      </c>
      <c r="N7" s="1" t="s">
        <v>2</v>
      </c>
      <c r="O7" s="1">
        <v>1</v>
      </c>
      <c r="P7" s="1">
        <f>IF(Table13[[#This Row],[design]]="Cross-sectional",0,1)</f>
        <v>0</v>
      </c>
      <c r="Q7" s="1">
        <f>IF(Table13[[#This Row],[adj]]="Adjusted",1,0)</f>
        <v>0</v>
      </c>
      <c r="R7" s="1">
        <f>SUM(Table13[[#This Row],[representative]:[adjust]])</f>
        <v>1</v>
      </c>
    </row>
    <row r="8" spans="1:18" x14ac:dyDescent="0.25">
      <c r="A8" s="1" t="s">
        <v>346</v>
      </c>
      <c r="B8" s="1" t="s">
        <v>345</v>
      </c>
      <c r="C8" s="1" t="s">
        <v>344</v>
      </c>
      <c r="D8" s="1">
        <v>2019</v>
      </c>
      <c r="E8" s="1" t="s">
        <v>21</v>
      </c>
      <c r="F8" s="1" t="s">
        <v>20</v>
      </c>
      <c r="G8" s="1" t="s">
        <v>18</v>
      </c>
      <c r="H8" s="1" t="s">
        <v>11</v>
      </c>
      <c r="I8" s="1" t="s">
        <v>349</v>
      </c>
      <c r="J8" s="1" t="s">
        <v>349</v>
      </c>
      <c r="K8" s="1" t="s">
        <v>9</v>
      </c>
      <c r="L8" s="1" t="s">
        <v>9</v>
      </c>
      <c r="M8" s="1" t="s">
        <v>340</v>
      </c>
      <c r="N8" s="1" t="s">
        <v>2</v>
      </c>
      <c r="O8" s="1">
        <v>1</v>
      </c>
      <c r="P8" s="1">
        <f>IF(Table13[[#This Row],[design]]="Cross-sectional",0,1)</f>
        <v>0</v>
      </c>
      <c r="Q8" s="1">
        <f>IF(Table13[[#This Row],[adj]]="Adjusted",1,0)</f>
        <v>0</v>
      </c>
      <c r="R8" s="1">
        <f>SUM(Table13[[#This Row],[representative]:[adjust]])</f>
        <v>1</v>
      </c>
    </row>
    <row r="9" spans="1:18" x14ac:dyDescent="0.25">
      <c r="A9" s="1" t="s">
        <v>333</v>
      </c>
      <c r="B9" s="1" t="s">
        <v>332</v>
      </c>
      <c r="C9" s="1" t="s">
        <v>331</v>
      </c>
      <c r="D9" s="1">
        <v>2022</v>
      </c>
      <c r="E9" s="1" t="s">
        <v>21</v>
      </c>
      <c r="F9" s="1" t="s">
        <v>20</v>
      </c>
      <c r="G9" s="1" t="s">
        <v>18</v>
      </c>
      <c r="H9" s="1" t="s">
        <v>11</v>
      </c>
      <c r="I9" s="1" t="s">
        <v>337</v>
      </c>
      <c r="J9" s="1" t="s">
        <v>337</v>
      </c>
      <c r="K9" s="1" t="s">
        <v>9</v>
      </c>
      <c r="L9" s="1" t="s">
        <v>9</v>
      </c>
      <c r="M9" s="1" t="s">
        <v>8</v>
      </c>
      <c r="N9" s="1" t="s">
        <v>35</v>
      </c>
      <c r="O9" s="1">
        <v>1</v>
      </c>
      <c r="P9" s="1">
        <f>IF(Table13[[#This Row],[design]]="Cross-sectional",0,1)</f>
        <v>0</v>
      </c>
      <c r="Q9" s="1">
        <f>IF(Table13[[#This Row],[adj]]="Adjusted",1,0)</f>
        <v>1</v>
      </c>
      <c r="R9" s="1">
        <f>SUM(Table13[[#This Row],[representative]:[adjust]])</f>
        <v>2</v>
      </c>
    </row>
    <row r="10" spans="1:18" x14ac:dyDescent="0.25">
      <c r="A10" s="1" t="s">
        <v>333</v>
      </c>
      <c r="B10" s="1" t="s">
        <v>332</v>
      </c>
      <c r="C10" s="1" t="s">
        <v>331</v>
      </c>
      <c r="D10" s="1">
        <v>2022</v>
      </c>
      <c r="E10" s="1" t="s">
        <v>21</v>
      </c>
      <c r="F10" s="1" t="s">
        <v>20</v>
      </c>
      <c r="G10" s="1" t="s">
        <v>18</v>
      </c>
      <c r="H10" s="1" t="s">
        <v>80</v>
      </c>
      <c r="I10" s="1" t="s">
        <v>317</v>
      </c>
      <c r="J10" s="1" t="s">
        <v>317</v>
      </c>
      <c r="K10" s="1" t="s">
        <v>41</v>
      </c>
      <c r="L10" s="1" t="s">
        <v>53</v>
      </c>
      <c r="M10" s="1" t="s">
        <v>8</v>
      </c>
      <c r="N10" s="1" t="s">
        <v>2</v>
      </c>
      <c r="O10" s="1">
        <v>1</v>
      </c>
      <c r="P10" s="1">
        <f>IF(Table13[[#This Row],[design]]="Cross-sectional",0,1)</f>
        <v>0</v>
      </c>
      <c r="Q10" s="1">
        <f>IF(Table13[[#This Row],[adj]]="Adjusted",1,0)</f>
        <v>0</v>
      </c>
      <c r="R10" s="1">
        <f>SUM(Table13[[#This Row],[representative]:[adjust]])</f>
        <v>1</v>
      </c>
    </row>
    <row r="11" spans="1:18" x14ac:dyDescent="0.25">
      <c r="A11" s="1" t="s">
        <v>322</v>
      </c>
      <c r="B11" s="1" t="s">
        <v>321</v>
      </c>
      <c r="C11" s="1" t="s">
        <v>320</v>
      </c>
      <c r="D11" s="1">
        <v>2022</v>
      </c>
      <c r="E11" s="1" t="s">
        <v>21</v>
      </c>
      <c r="F11" s="1" t="s">
        <v>20</v>
      </c>
      <c r="G11" s="1" t="s">
        <v>278</v>
      </c>
      <c r="H11" s="1" t="s">
        <v>11</v>
      </c>
      <c r="I11" s="1" t="s">
        <v>173</v>
      </c>
      <c r="J11" s="1" t="s">
        <v>325</v>
      </c>
      <c r="K11" s="1" t="s">
        <v>41</v>
      </c>
      <c r="L11" s="1" t="s">
        <v>53</v>
      </c>
      <c r="M11" s="1" t="s">
        <v>8</v>
      </c>
      <c r="N11" s="1" t="s">
        <v>2</v>
      </c>
      <c r="O11" s="1">
        <v>1</v>
      </c>
      <c r="P11" s="1">
        <f>IF(Table13[[#This Row],[design]]="Cross-sectional",0,1)</f>
        <v>0</v>
      </c>
      <c r="Q11" s="1">
        <f>IF(Table13[[#This Row],[adj]]="Adjusted",1,0)</f>
        <v>0</v>
      </c>
      <c r="R11" s="1">
        <f>SUM(Table13[[#This Row],[representative]:[adjust]])</f>
        <v>1</v>
      </c>
    </row>
    <row r="12" spans="1:18" x14ac:dyDescent="0.25">
      <c r="A12" s="1" t="s">
        <v>322</v>
      </c>
      <c r="B12" s="1" t="s">
        <v>321</v>
      </c>
      <c r="C12" s="1" t="s">
        <v>320</v>
      </c>
      <c r="D12" s="1">
        <v>2022</v>
      </c>
      <c r="E12" s="1" t="s">
        <v>21</v>
      </c>
      <c r="F12" s="1" t="s">
        <v>20</v>
      </c>
      <c r="G12" s="1" t="s">
        <v>278</v>
      </c>
      <c r="H12" s="1" t="s">
        <v>80</v>
      </c>
      <c r="I12" s="1" t="s">
        <v>318</v>
      </c>
      <c r="J12" s="1" t="s">
        <v>317</v>
      </c>
      <c r="K12" s="1" t="s">
        <v>41</v>
      </c>
      <c r="L12" s="1" t="s">
        <v>53</v>
      </c>
      <c r="M12" s="1" t="s">
        <v>8</v>
      </c>
      <c r="N12" s="1" t="s">
        <v>2</v>
      </c>
      <c r="O12" s="1">
        <v>1</v>
      </c>
      <c r="P12" s="1">
        <f>IF(Table13[[#This Row],[design]]="Cross-sectional",0,1)</f>
        <v>0</v>
      </c>
      <c r="Q12" s="1">
        <f>IF(Table13[[#This Row],[adj]]="Adjusted",1,0)</f>
        <v>0</v>
      </c>
      <c r="R12" s="1">
        <f>SUM(Table13[[#This Row],[representative]:[adjust]])</f>
        <v>1</v>
      </c>
    </row>
    <row r="13" spans="1:18" x14ac:dyDescent="0.25">
      <c r="A13" s="1" t="s">
        <v>308</v>
      </c>
      <c r="B13" s="1" t="s">
        <v>307</v>
      </c>
      <c r="C13" s="1" t="s">
        <v>306</v>
      </c>
      <c r="D13" s="1">
        <v>2023</v>
      </c>
      <c r="E13" s="1" t="s">
        <v>21</v>
      </c>
      <c r="F13" s="1" t="s">
        <v>20</v>
      </c>
      <c r="G13" s="1" t="s">
        <v>260</v>
      </c>
      <c r="H13" s="1" t="s">
        <v>80</v>
      </c>
      <c r="I13" s="1" t="s">
        <v>303</v>
      </c>
      <c r="J13" s="1" t="s">
        <v>80</v>
      </c>
      <c r="K13" s="1" t="s">
        <v>41</v>
      </c>
      <c r="L13" s="1" t="s">
        <v>53</v>
      </c>
      <c r="M13" s="1" t="s">
        <v>8</v>
      </c>
      <c r="N13" s="1" t="s">
        <v>2</v>
      </c>
      <c r="O13" s="1">
        <v>1</v>
      </c>
      <c r="P13" s="1">
        <f>IF(Table13[[#This Row],[design]]="Cross-sectional",0,1)</f>
        <v>0</v>
      </c>
      <c r="Q13" s="1">
        <f>IF(Table13[[#This Row],[adj]]="Adjusted",1,0)</f>
        <v>0</v>
      </c>
      <c r="R13" s="1">
        <f>SUM(Table13[[#This Row],[representative]:[adjust]])</f>
        <v>1</v>
      </c>
    </row>
    <row r="14" spans="1:18" x14ac:dyDescent="0.25">
      <c r="A14" s="1" t="s">
        <v>308</v>
      </c>
      <c r="B14" s="1" t="s">
        <v>307</v>
      </c>
      <c r="C14" s="1" t="s">
        <v>306</v>
      </c>
      <c r="D14" s="1">
        <v>2023</v>
      </c>
      <c r="E14" s="1" t="s">
        <v>21</v>
      </c>
      <c r="F14" s="1" t="s">
        <v>20</v>
      </c>
      <c r="G14" s="1" t="s">
        <v>260</v>
      </c>
      <c r="H14" s="1" t="s">
        <v>80</v>
      </c>
      <c r="I14" s="1" t="s">
        <v>303</v>
      </c>
      <c r="J14" s="1" t="s">
        <v>80</v>
      </c>
      <c r="K14" s="1" t="s">
        <v>41</v>
      </c>
      <c r="L14" s="1" t="s">
        <v>53</v>
      </c>
      <c r="M14" s="1" t="s">
        <v>8</v>
      </c>
      <c r="N14" s="1" t="s">
        <v>2</v>
      </c>
      <c r="O14" s="1">
        <v>1</v>
      </c>
      <c r="P14" s="1">
        <f>IF(Table13[[#This Row],[design]]="Cross-sectional",0,1)</f>
        <v>0</v>
      </c>
      <c r="Q14" s="1">
        <f>IF(Table13[[#This Row],[adj]]="Adjusted",1,0)</f>
        <v>0</v>
      </c>
      <c r="R14" s="1">
        <f>SUM(Table13[[#This Row],[representative]:[adjust]])</f>
        <v>1</v>
      </c>
    </row>
    <row r="15" spans="1:18" x14ac:dyDescent="0.25">
      <c r="A15" s="1" t="s">
        <v>308</v>
      </c>
      <c r="B15" s="1" t="s">
        <v>307</v>
      </c>
      <c r="C15" s="1" t="s">
        <v>306</v>
      </c>
      <c r="D15" s="1">
        <v>2023</v>
      </c>
      <c r="E15" s="1" t="s">
        <v>21</v>
      </c>
      <c r="F15" s="1" t="s">
        <v>20</v>
      </c>
      <c r="G15" s="1" t="s">
        <v>260</v>
      </c>
      <c r="H15" s="1" t="s">
        <v>11</v>
      </c>
      <c r="I15" s="1" t="s">
        <v>311</v>
      </c>
      <c r="J15" s="1" t="s">
        <v>11</v>
      </c>
      <c r="K15" s="1" t="s">
        <v>41</v>
      </c>
      <c r="L15" s="1" t="s">
        <v>53</v>
      </c>
      <c r="M15" s="1" t="s">
        <v>8</v>
      </c>
      <c r="N15" s="1" t="s">
        <v>2</v>
      </c>
      <c r="O15" s="1">
        <v>1</v>
      </c>
      <c r="P15" s="1">
        <f>IF(Table13[[#This Row],[design]]="Cross-sectional",0,1)</f>
        <v>0</v>
      </c>
      <c r="Q15" s="1">
        <f>IF(Table13[[#This Row],[adj]]="Adjusted",1,0)</f>
        <v>0</v>
      </c>
      <c r="R15" s="1">
        <f>SUM(Table13[[#This Row],[representative]:[adjust]])</f>
        <v>1</v>
      </c>
    </row>
    <row r="16" spans="1:18" x14ac:dyDescent="0.25">
      <c r="A16" s="1" t="s">
        <v>308</v>
      </c>
      <c r="B16" s="1" t="s">
        <v>307</v>
      </c>
      <c r="C16" s="1" t="s">
        <v>306</v>
      </c>
      <c r="D16" s="1">
        <v>2023</v>
      </c>
      <c r="E16" s="1" t="s">
        <v>21</v>
      </c>
      <c r="F16" s="1" t="s">
        <v>20</v>
      </c>
      <c r="G16" s="1" t="s">
        <v>260</v>
      </c>
      <c r="H16" s="1" t="s">
        <v>11</v>
      </c>
      <c r="I16" s="1" t="s">
        <v>311</v>
      </c>
      <c r="J16" s="1" t="s">
        <v>11</v>
      </c>
      <c r="K16" s="1" t="s">
        <v>41</v>
      </c>
      <c r="L16" s="1" t="s">
        <v>53</v>
      </c>
      <c r="M16" s="1" t="s">
        <v>8</v>
      </c>
      <c r="N16" s="1" t="s">
        <v>2</v>
      </c>
      <c r="O16" s="1">
        <v>1</v>
      </c>
      <c r="P16" s="1">
        <f>IF(Table13[[#This Row],[design]]="Cross-sectional",0,1)</f>
        <v>0</v>
      </c>
      <c r="Q16" s="1">
        <f>IF(Table13[[#This Row],[adj]]="Adjusted",1,0)</f>
        <v>0</v>
      </c>
      <c r="R16" s="1">
        <f>SUM(Table13[[#This Row],[representative]:[adjust]])</f>
        <v>1</v>
      </c>
    </row>
    <row r="17" spans="1:316" x14ac:dyDescent="0.25">
      <c r="A17" s="1" t="s">
        <v>299</v>
      </c>
      <c r="B17" s="1" t="s">
        <v>298</v>
      </c>
      <c r="C17" s="1" t="s">
        <v>288</v>
      </c>
      <c r="D17" s="1">
        <v>2010</v>
      </c>
      <c r="E17" s="1" t="s">
        <v>21</v>
      </c>
      <c r="F17" s="1" t="s">
        <v>20</v>
      </c>
      <c r="G17" s="1" t="s">
        <v>260</v>
      </c>
      <c r="H17" s="1" t="s">
        <v>39</v>
      </c>
      <c r="I17" s="1" t="s">
        <v>294</v>
      </c>
      <c r="J17" s="1" t="s">
        <v>37</v>
      </c>
      <c r="K17" s="1" t="s">
        <v>41</v>
      </c>
      <c r="L17" s="1" t="s">
        <v>53</v>
      </c>
      <c r="M17" s="1" t="s">
        <v>8</v>
      </c>
      <c r="N17" s="1" t="s">
        <v>35</v>
      </c>
      <c r="O17" s="1">
        <v>1</v>
      </c>
      <c r="P17" s="1">
        <f>IF(Table13[[#This Row],[design]]="Cross-sectional",0,1)</f>
        <v>0</v>
      </c>
      <c r="Q17" s="1">
        <f>IF(Table13[[#This Row],[adj]]="Adjusted",1,0)</f>
        <v>1</v>
      </c>
      <c r="R17" s="1">
        <f>SUM(Table13[[#This Row],[representative]:[adjust]])</f>
        <v>2</v>
      </c>
    </row>
    <row r="18" spans="1:316" x14ac:dyDescent="0.25">
      <c r="A18" s="1" t="s">
        <v>290</v>
      </c>
      <c r="B18" s="1" t="s">
        <v>289</v>
      </c>
      <c r="C18" s="1" t="s">
        <v>288</v>
      </c>
      <c r="D18" s="1">
        <v>2015</v>
      </c>
      <c r="E18" s="1" t="s">
        <v>21</v>
      </c>
      <c r="F18" s="1" t="s">
        <v>20</v>
      </c>
      <c r="G18" s="1" t="s">
        <v>260</v>
      </c>
      <c r="H18" s="1" t="s">
        <v>39</v>
      </c>
      <c r="I18" s="1" t="s">
        <v>284</v>
      </c>
      <c r="J18" s="1" t="s">
        <v>37</v>
      </c>
      <c r="K18" s="1" t="s">
        <v>41</v>
      </c>
      <c r="L18" s="1" t="s">
        <v>53</v>
      </c>
      <c r="M18" s="1" t="s">
        <v>8</v>
      </c>
      <c r="N18" s="1" t="s">
        <v>35</v>
      </c>
      <c r="O18" s="1">
        <v>1</v>
      </c>
      <c r="P18" s="1">
        <f>IF(Table13[[#This Row],[design]]="Cross-sectional",0,1)</f>
        <v>0</v>
      </c>
      <c r="Q18" s="1">
        <f>IF(Table13[[#This Row],[adj]]="Adjusted",1,0)</f>
        <v>1</v>
      </c>
      <c r="R18" s="1">
        <f>SUM(Table13[[#This Row],[representative]:[adjust]])</f>
        <v>2</v>
      </c>
    </row>
    <row r="19" spans="1:316" s="14" customFormat="1" x14ac:dyDescent="0.25">
      <c r="A19" s="1" t="s">
        <v>290</v>
      </c>
      <c r="B19" s="1" t="s">
        <v>289</v>
      </c>
      <c r="C19" s="1" t="s">
        <v>288</v>
      </c>
      <c r="D19" s="1">
        <v>2015</v>
      </c>
      <c r="E19" s="1" t="s">
        <v>21</v>
      </c>
      <c r="F19" s="1" t="s">
        <v>20</v>
      </c>
      <c r="G19" s="1" t="s">
        <v>260</v>
      </c>
      <c r="H19" s="1" t="s">
        <v>39</v>
      </c>
      <c r="I19" s="1" t="s">
        <v>284</v>
      </c>
      <c r="J19" s="1" t="s">
        <v>37</v>
      </c>
      <c r="K19" s="1" t="s">
        <v>41</v>
      </c>
      <c r="L19" s="1" t="s">
        <v>53</v>
      </c>
      <c r="M19" s="1" t="s">
        <v>8</v>
      </c>
      <c r="N19" s="1" t="s">
        <v>35</v>
      </c>
      <c r="O19" s="1">
        <v>1</v>
      </c>
      <c r="P19" s="1">
        <f>IF(Table13[[#This Row],[design]]="Cross-sectional",0,1)</f>
        <v>0</v>
      </c>
      <c r="Q19" s="1">
        <f>IF(Table13[[#This Row],[adj]]="Adjusted",1,0)</f>
        <v>1</v>
      </c>
      <c r="R19" s="1">
        <f>SUM(Table13[[#This Row],[representative]:[adjust]])</f>
        <v>2</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row>
    <row r="20" spans="1:316" x14ac:dyDescent="0.25">
      <c r="A20" s="1" t="s">
        <v>264</v>
      </c>
      <c r="B20" s="1" t="s">
        <v>263</v>
      </c>
      <c r="C20" s="1" t="s">
        <v>262</v>
      </c>
      <c r="D20" s="1">
        <v>2018</v>
      </c>
      <c r="E20" s="1" t="s">
        <v>21</v>
      </c>
      <c r="F20" s="1" t="s">
        <v>20</v>
      </c>
      <c r="G20" s="1" t="s">
        <v>260</v>
      </c>
      <c r="H20" s="1" t="s">
        <v>39</v>
      </c>
      <c r="I20" s="1" t="s">
        <v>257</v>
      </c>
      <c r="J20" s="1" t="s">
        <v>256</v>
      </c>
      <c r="K20" s="1" t="s">
        <v>41</v>
      </c>
      <c r="L20" s="1" t="s">
        <v>53</v>
      </c>
      <c r="M20" s="1" t="s">
        <v>8</v>
      </c>
      <c r="N20" s="1" t="s">
        <v>35</v>
      </c>
      <c r="O20" s="1">
        <v>1</v>
      </c>
      <c r="P20" s="1">
        <f>IF(Table13[[#This Row],[design]]="Cross-sectional",0,1)</f>
        <v>0</v>
      </c>
      <c r="Q20" s="1">
        <f>IF(Table13[[#This Row],[adj]]="Adjusted",1,0)</f>
        <v>1</v>
      </c>
      <c r="R20" s="1">
        <f>SUM(Table13[[#This Row],[representative]:[adjust]])</f>
        <v>2</v>
      </c>
    </row>
    <row r="21" spans="1:316" s="2" customFormat="1" x14ac:dyDescent="0.25">
      <c r="A21" s="1" t="s">
        <v>264</v>
      </c>
      <c r="B21" s="1" t="s">
        <v>263</v>
      </c>
      <c r="C21" s="1" t="s">
        <v>262</v>
      </c>
      <c r="D21" s="1">
        <v>2018</v>
      </c>
      <c r="E21" s="1" t="s">
        <v>21</v>
      </c>
      <c r="F21" s="1" t="s">
        <v>20</v>
      </c>
      <c r="G21" s="1" t="s">
        <v>260</v>
      </c>
      <c r="H21" s="1" t="s">
        <v>39</v>
      </c>
      <c r="I21" s="1" t="s">
        <v>271</v>
      </c>
      <c r="J21" s="1" t="s">
        <v>1434</v>
      </c>
      <c r="K21" s="1" t="s">
        <v>41</v>
      </c>
      <c r="L21" s="1" t="s">
        <v>53</v>
      </c>
      <c r="M21" s="1" t="s">
        <v>8</v>
      </c>
      <c r="N21" s="1" t="s">
        <v>35</v>
      </c>
      <c r="O21" s="1">
        <v>1</v>
      </c>
      <c r="P21" s="1">
        <f>IF(Table13[[#This Row],[design]]="Cross-sectional",0,1)</f>
        <v>0</v>
      </c>
      <c r="Q21" s="1">
        <f>IF(Table13[[#This Row],[adj]]="Adjusted",1,0)</f>
        <v>1</v>
      </c>
      <c r="R21" s="1">
        <f>SUM(Table13[[#This Row],[representative]:[adjust]])</f>
        <v>2</v>
      </c>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row>
    <row r="22" spans="1:316" s="2" customFormat="1" x14ac:dyDescent="0.25">
      <c r="A22" s="1" t="s">
        <v>264</v>
      </c>
      <c r="B22" s="1" t="s">
        <v>263</v>
      </c>
      <c r="C22" s="1" t="s">
        <v>262</v>
      </c>
      <c r="D22" s="1">
        <v>2018</v>
      </c>
      <c r="E22" s="1" t="s">
        <v>21</v>
      </c>
      <c r="F22" s="1" t="s">
        <v>20</v>
      </c>
      <c r="G22" s="1" t="s">
        <v>260</v>
      </c>
      <c r="H22" s="1" t="s">
        <v>39</v>
      </c>
      <c r="I22" s="1" t="s">
        <v>275</v>
      </c>
      <c r="J22" s="1" t="s">
        <v>275</v>
      </c>
      <c r="K22" s="1" t="s">
        <v>41</v>
      </c>
      <c r="L22" s="1" t="s">
        <v>53</v>
      </c>
      <c r="M22" s="1" t="s">
        <v>160</v>
      </c>
      <c r="N22" s="1" t="s">
        <v>35</v>
      </c>
      <c r="O22" s="1">
        <v>1</v>
      </c>
      <c r="P22" s="1">
        <f>IF(Table13[[#This Row],[design]]="Cross-sectional",0,1)</f>
        <v>0</v>
      </c>
      <c r="Q22" s="1">
        <f>IF(Table13[[#This Row],[adj]]="Adjusted",1,0)</f>
        <v>1</v>
      </c>
      <c r="R22" s="1">
        <f>SUM(Table13[[#This Row],[representative]:[adjust]])</f>
        <v>2</v>
      </c>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row>
    <row r="23" spans="1:316" s="2" customFormat="1" x14ac:dyDescent="0.25">
      <c r="A23" s="1" t="s">
        <v>264</v>
      </c>
      <c r="B23" s="1" t="s">
        <v>263</v>
      </c>
      <c r="C23" s="1" t="s">
        <v>262</v>
      </c>
      <c r="D23" s="1">
        <v>2018</v>
      </c>
      <c r="E23" s="1" t="s">
        <v>21</v>
      </c>
      <c r="F23" s="1" t="s">
        <v>20</v>
      </c>
      <c r="G23" s="1" t="s">
        <v>260</v>
      </c>
      <c r="H23" s="1" t="s">
        <v>39</v>
      </c>
      <c r="I23" s="1" t="s">
        <v>268</v>
      </c>
      <c r="J23" s="1" t="s">
        <v>267</v>
      </c>
      <c r="K23" s="1" t="s">
        <v>41</v>
      </c>
      <c r="L23" s="1" t="s">
        <v>53</v>
      </c>
      <c r="M23" s="1" t="s">
        <v>8</v>
      </c>
      <c r="N23" s="1" t="s">
        <v>35</v>
      </c>
      <c r="O23" s="1">
        <v>1</v>
      </c>
      <c r="P23" s="1">
        <f>IF(Table13[[#This Row],[design]]="Cross-sectional",0,1)</f>
        <v>0</v>
      </c>
      <c r="Q23" s="1">
        <f>IF(Table13[[#This Row],[adj]]="Adjusted",1,0)</f>
        <v>1</v>
      </c>
      <c r="R23" s="1">
        <f>SUM(Table13[[#This Row],[representative]:[adjust]])</f>
        <v>2</v>
      </c>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row>
    <row r="24" spans="1:316" s="2" customFormat="1" x14ac:dyDescent="0.25">
      <c r="A24" s="1" t="s">
        <v>1242</v>
      </c>
      <c r="B24" s="1" t="s">
        <v>250</v>
      </c>
      <c r="C24" s="1" t="s">
        <v>249</v>
      </c>
      <c r="D24" s="1">
        <v>2018</v>
      </c>
      <c r="E24" s="1" t="s">
        <v>21</v>
      </c>
      <c r="F24" s="1" t="s">
        <v>20</v>
      </c>
      <c r="G24" s="1" t="s">
        <v>18</v>
      </c>
      <c r="H24" s="1" t="s">
        <v>39</v>
      </c>
      <c r="I24" s="1" t="s">
        <v>246</v>
      </c>
      <c r="J24" s="1" t="s">
        <v>37</v>
      </c>
      <c r="K24" s="1" t="s">
        <v>9</v>
      </c>
      <c r="L24" s="1" t="s">
        <v>9</v>
      </c>
      <c r="M24" s="1" t="s">
        <v>8</v>
      </c>
      <c r="N24" s="1" t="s">
        <v>2</v>
      </c>
      <c r="O24" s="1">
        <v>1</v>
      </c>
      <c r="P24" s="1">
        <f>IF(Table13[[#This Row],[design]]="Cross-sectional",0,1)</f>
        <v>0</v>
      </c>
      <c r="Q24" s="1">
        <f>IF(Table13[[#This Row],[adj]]="Adjusted",1,0)</f>
        <v>0</v>
      </c>
      <c r="R24" s="1">
        <f>SUM(Table13[[#This Row],[representative]:[adjust]])</f>
        <v>1</v>
      </c>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row>
    <row r="25" spans="1:316" x14ac:dyDescent="0.25">
      <c r="A25" s="1" t="s">
        <v>1242</v>
      </c>
      <c r="B25" s="1" t="s">
        <v>250</v>
      </c>
      <c r="C25" s="1" t="s">
        <v>249</v>
      </c>
      <c r="D25" s="1">
        <v>2018</v>
      </c>
      <c r="E25" s="1" t="s">
        <v>21</v>
      </c>
      <c r="F25" s="1" t="s">
        <v>20</v>
      </c>
      <c r="G25" s="1" t="s">
        <v>18</v>
      </c>
      <c r="H25" s="1" t="s">
        <v>39</v>
      </c>
      <c r="I25" s="1" t="s">
        <v>246</v>
      </c>
      <c r="J25" s="1" t="s">
        <v>37</v>
      </c>
      <c r="K25" s="1" t="s">
        <v>9</v>
      </c>
      <c r="L25" s="1" t="s">
        <v>9</v>
      </c>
      <c r="M25" s="1" t="s">
        <v>8</v>
      </c>
      <c r="N25" s="1" t="s">
        <v>2</v>
      </c>
      <c r="O25" s="1">
        <v>1</v>
      </c>
      <c r="P25" s="1">
        <f>IF(Table13[[#This Row],[design]]="Cross-sectional",0,1)</f>
        <v>0</v>
      </c>
      <c r="Q25" s="1">
        <f>IF(Table13[[#This Row],[adj]]="Adjusted",1,0)</f>
        <v>0</v>
      </c>
      <c r="R25" s="1">
        <f>SUM(Table13[[#This Row],[representative]:[adjust]])</f>
        <v>1</v>
      </c>
    </row>
    <row r="26" spans="1:316" x14ac:dyDescent="0.25">
      <c r="A26" s="1" t="s">
        <v>242</v>
      </c>
      <c r="B26" s="1" t="s">
        <v>241</v>
      </c>
      <c r="C26" s="1" t="s">
        <v>240</v>
      </c>
      <c r="D26" s="1">
        <v>2023</v>
      </c>
      <c r="E26" s="1" t="s">
        <v>21</v>
      </c>
      <c r="F26" s="1" t="s">
        <v>20</v>
      </c>
      <c r="G26" s="1" t="s">
        <v>148</v>
      </c>
      <c r="H26" s="1" t="s">
        <v>39</v>
      </c>
      <c r="I26" s="1" t="s">
        <v>1436</v>
      </c>
      <c r="J26" s="1" t="s">
        <v>1436</v>
      </c>
      <c r="K26" s="1" t="s">
        <v>9</v>
      </c>
      <c r="L26" s="1" t="s">
        <v>9</v>
      </c>
      <c r="M26" s="1" t="s">
        <v>8</v>
      </c>
      <c r="N26" s="1" t="s">
        <v>35</v>
      </c>
      <c r="O26" s="1">
        <v>0</v>
      </c>
      <c r="P26" s="1">
        <f>IF(Table13[[#This Row],[design]]="Cross-sectional",0,1)</f>
        <v>0</v>
      </c>
      <c r="Q26" s="1">
        <f>IF(Table13[[#This Row],[adj]]="Adjusted",1,0)</f>
        <v>1</v>
      </c>
      <c r="R26" s="1">
        <f>SUM(Table13[[#This Row],[representative]:[adjust]])</f>
        <v>1</v>
      </c>
    </row>
    <row r="27" spans="1:316" x14ac:dyDescent="0.25">
      <c r="A27" s="1" t="s">
        <v>1437</v>
      </c>
      <c r="B27" s="1" t="s">
        <v>230</v>
      </c>
      <c r="C27" s="1" t="s">
        <v>229</v>
      </c>
      <c r="D27" s="1">
        <v>2019</v>
      </c>
      <c r="E27" s="1" t="s">
        <v>21</v>
      </c>
      <c r="F27" s="1" t="s">
        <v>20</v>
      </c>
      <c r="G27" s="1" t="s">
        <v>18</v>
      </c>
      <c r="H27" s="1" t="s">
        <v>80</v>
      </c>
      <c r="I27" s="1" t="s">
        <v>233</v>
      </c>
      <c r="J27" s="1" t="s">
        <v>232</v>
      </c>
      <c r="K27" s="1" t="s">
        <v>14</v>
      </c>
      <c r="L27" s="1" t="s">
        <v>53</v>
      </c>
      <c r="M27" s="1" t="s">
        <v>8</v>
      </c>
      <c r="N27" s="1" t="s">
        <v>2</v>
      </c>
      <c r="O27" s="1">
        <v>1</v>
      </c>
      <c r="P27" s="1">
        <f>IF(Table13[[#This Row],[design]]="Cross-sectional",0,1)</f>
        <v>0</v>
      </c>
      <c r="Q27" s="1">
        <f>IF(Table13[[#This Row],[adj]]="Adjusted",1,0)</f>
        <v>0</v>
      </c>
      <c r="R27" s="1">
        <f>SUM(Table13[[#This Row],[representative]:[adjust]])</f>
        <v>1</v>
      </c>
    </row>
    <row r="28" spans="1:316" x14ac:dyDescent="0.25">
      <c r="A28" s="1" t="s">
        <v>1437</v>
      </c>
      <c r="B28" s="1" t="s">
        <v>230</v>
      </c>
      <c r="C28" s="1" t="s">
        <v>229</v>
      </c>
      <c r="D28" s="1">
        <v>2019</v>
      </c>
      <c r="E28" s="1" t="s">
        <v>21</v>
      </c>
      <c r="F28" s="1" t="s">
        <v>20</v>
      </c>
      <c r="G28" s="1" t="s">
        <v>18</v>
      </c>
      <c r="H28" s="1" t="s">
        <v>11</v>
      </c>
      <c r="I28" s="1" t="s">
        <v>226</v>
      </c>
      <c r="J28" s="1" t="s">
        <v>226</v>
      </c>
      <c r="K28" s="1" t="s">
        <v>14</v>
      </c>
      <c r="L28" s="1" t="s">
        <v>53</v>
      </c>
      <c r="M28" s="1" t="s">
        <v>8</v>
      </c>
      <c r="N28" s="1" t="s">
        <v>2</v>
      </c>
      <c r="O28" s="1">
        <v>1</v>
      </c>
      <c r="P28" s="1">
        <f>IF(Table13[[#This Row],[design]]="Cross-sectional",0,1)</f>
        <v>0</v>
      </c>
      <c r="Q28" s="1">
        <f>IF(Table13[[#This Row],[adj]]="Adjusted",1,0)</f>
        <v>0</v>
      </c>
      <c r="R28" s="1">
        <f>SUM(Table13[[#This Row],[representative]:[adjust]])</f>
        <v>1</v>
      </c>
    </row>
    <row r="29" spans="1:316" x14ac:dyDescent="0.25">
      <c r="A29" s="1" t="s">
        <v>222</v>
      </c>
      <c r="B29" s="1" t="s">
        <v>221</v>
      </c>
      <c r="C29" s="1" t="s">
        <v>220</v>
      </c>
      <c r="D29" s="1">
        <v>2011</v>
      </c>
      <c r="E29" s="1" t="s">
        <v>21</v>
      </c>
      <c r="F29" s="1" t="s">
        <v>20</v>
      </c>
      <c r="G29" s="1" t="s">
        <v>148</v>
      </c>
      <c r="H29" s="1" t="s">
        <v>11</v>
      </c>
      <c r="I29" s="1" t="s">
        <v>214</v>
      </c>
      <c r="J29" s="1" t="s">
        <v>214</v>
      </c>
      <c r="K29" s="1" t="s">
        <v>9</v>
      </c>
      <c r="L29" s="1" t="s">
        <v>9</v>
      </c>
      <c r="M29" s="1" t="s">
        <v>8</v>
      </c>
      <c r="N29" s="1" t="s">
        <v>35</v>
      </c>
      <c r="O29" s="1">
        <v>0</v>
      </c>
      <c r="P29" s="1">
        <f>IF(Table13[[#This Row],[design]]="Cross-sectional",0,1)</f>
        <v>0</v>
      </c>
      <c r="Q29" s="1">
        <f>IF(Table13[[#This Row],[adj]]="Adjusted",1,0)</f>
        <v>1</v>
      </c>
      <c r="R29" s="1">
        <f>SUM(Table13[[#This Row],[representative]:[adjust]])</f>
        <v>1</v>
      </c>
    </row>
    <row r="30" spans="1:316" s="14" customFormat="1" x14ac:dyDescent="0.25">
      <c r="A30" s="1" t="s">
        <v>222</v>
      </c>
      <c r="B30" s="1" t="s">
        <v>221</v>
      </c>
      <c r="C30" s="1" t="s">
        <v>220</v>
      </c>
      <c r="D30" s="1">
        <v>2011</v>
      </c>
      <c r="E30" s="1" t="s">
        <v>21</v>
      </c>
      <c r="F30" s="1" t="s">
        <v>20</v>
      </c>
      <c r="G30" s="1" t="s">
        <v>148</v>
      </c>
      <c r="H30" s="1" t="s">
        <v>11</v>
      </c>
      <c r="I30" s="1" t="s">
        <v>214</v>
      </c>
      <c r="J30" s="1" t="s">
        <v>214</v>
      </c>
      <c r="K30" s="1" t="s">
        <v>9</v>
      </c>
      <c r="L30" s="1" t="s">
        <v>9</v>
      </c>
      <c r="M30" s="1" t="s">
        <v>8</v>
      </c>
      <c r="N30" s="1" t="s">
        <v>35</v>
      </c>
      <c r="O30" s="1">
        <v>0</v>
      </c>
      <c r="P30" s="1">
        <f>IF(Table13[[#This Row],[design]]="Cross-sectional",0,1)</f>
        <v>0</v>
      </c>
      <c r="Q30" s="1">
        <f>IF(Table13[[#This Row],[adj]]="Adjusted",1,0)</f>
        <v>1</v>
      </c>
      <c r="R30" s="1">
        <f>SUM(Table13[[#This Row],[representative]:[adjust]])</f>
        <v>1</v>
      </c>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row>
    <row r="31" spans="1:316" x14ac:dyDescent="0.25">
      <c r="A31" s="1" t="s">
        <v>211</v>
      </c>
      <c r="B31" s="1" t="s">
        <v>210</v>
      </c>
      <c r="C31" s="1" t="s">
        <v>202</v>
      </c>
      <c r="D31" s="1">
        <v>2017</v>
      </c>
      <c r="E31" s="1" t="s">
        <v>21</v>
      </c>
      <c r="F31" s="1" t="s">
        <v>20</v>
      </c>
      <c r="G31" s="1" t="s">
        <v>148</v>
      </c>
      <c r="H31" s="1" t="s">
        <v>11</v>
      </c>
      <c r="I31" s="1" t="s">
        <v>186</v>
      </c>
      <c r="J31" s="1" t="s">
        <v>186</v>
      </c>
      <c r="K31" s="1" t="s">
        <v>9</v>
      </c>
      <c r="L31" s="1" t="s">
        <v>9</v>
      </c>
      <c r="M31" s="1" t="s">
        <v>8</v>
      </c>
      <c r="N31" s="1" t="s">
        <v>2</v>
      </c>
      <c r="O31" s="1">
        <v>0</v>
      </c>
      <c r="P31" s="1">
        <f>IF(Table13[[#This Row],[design]]="Cross-sectional",0,1)</f>
        <v>0</v>
      </c>
      <c r="Q31" s="1">
        <f>IF(Table13[[#This Row],[adj]]="Adjusted",1,0)</f>
        <v>0</v>
      </c>
      <c r="R31" s="1">
        <f>SUM(Table13[[#This Row],[representative]:[adjust]])</f>
        <v>0</v>
      </c>
    </row>
    <row r="32" spans="1:316" x14ac:dyDescent="0.25">
      <c r="A32" s="1" t="s">
        <v>204</v>
      </c>
      <c r="B32" s="1" t="s">
        <v>203</v>
      </c>
      <c r="C32" s="1" t="s">
        <v>202</v>
      </c>
      <c r="D32" s="1">
        <v>2021</v>
      </c>
      <c r="E32" s="1" t="s">
        <v>21</v>
      </c>
      <c r="F32" s="1" t="s">
        <v>20</v>
      </c>
      <c r="G32" s="1" t="s">
        <v>148</v>
      </c>
      <c r="H32" s="1" t="s">
        <v>39</v>
      </c>
      <c r="I32" s="1" t="s">
        <v>1438</v>
      </c>
      <c r="J32" s="1" t="s">
        <v>1438</v>
      </c>
      <c r="K32" s="1" t="s">
        <v>41</v>
      </c>
      <c r="L32" s="1" t="s">
        <v>53</v>
      </c>
      <c r="M32" s="1" t="s">
        <v>8</v>
      </c>
      <c r="N32" s="1" t="s">
        <v>35</v>
      </c>
      <c r="O32" s="1">
        <v>0</v>
      </c>
      <c r="P32" s="1">
        <f>IF(Table13[[#This Row],[design]]="Cross-sectional",0,1)</f>
        <v>0</v>
      </c>
      <c r="Q32" s="1">
        <f>IF(Table13[[#This Row],[adj]]="Adjusted",1,0)</f>
        <v>1</v>
      </c>
      <c r="R32" s="1">
        <f>SUM(Table13[[#This Row],[representative]:[adjust]])</f>
        <v>1</v>
      </c>
    </row>
    <row r="33" spans="1:18" x14ac:dyDescent="0.25">
      <c r="A33" s="1" t="s">
        <v>194</v>
      </c>
      <c r="B33" s="1" t="s">
        <v>193</v>
      </c>
      <c r="C33" s="1" t="s">
        <v>192</v>
      </c>
      <c r="D33" s="1">
        <v>2015</v>
      </c>
      <c r="E33" s="1" t="s">
        <v>21</v>
      </c>
      <c r="F33" s="1" t="s">
        <v>20</v>
      </c>
      <c r="G33" s="1" t="s">
        <v>278</v>
      </c>
      <c r="H33" s="1" t="s">
        <v>11</v>
      </c>
      <c r="I33" s="1" t="s">
        <v>186</v>
      </c>
      <c r="J33" s="1" t="s">
        <v>186</v>
      </c>
      <c r="K33" s="1" t="s">
        <v>9</v>
      </c>
      <c r="L33" s="1" t="s">
        <v>9</v>
      </c>
      <c r="M33" s="1" t="s">
        <v>8</v>
      </c>
      <c r="N33" s="1" t="s">
        <v>35</v>
      </c>
      <c r="O33" s="1">
        <v>1</v>
      </c>
      <c r="P33" s="1">
        <f>IF(Table13[[#This Row],[design]]="Cross-sectional",0,1)</f>
        <v>0</v>
      </c>
      <c r="Q33" s="1">
        <f>IF(Table13[[#This Row],[adj]]="Adjusted",1,0)</f>
        <v>1</v>
      </c>
      <c r="R33" s="1">
        <f>SUM(Table13[[#This Row],[representative]:[adjust]])</f>
        <v>2</v>
      </c>
    </row>
    <row r="34" spans="1:18" x14ac:dyDescent="0.25">
      <c r="A34" s="1" t="s">
        <v>176</v>
      </c>
      <c r="B34" s="1" t="s">
        <v>175</v>
      </c>
      <c r="C34" s="1" t="s">
        <v>174</v>
      </c>
      <c r="D34" s="1">
        <v>2019</v>
      </c>
      <c r="E34" s="1" t="s">
        <v>21</v>
      </c>
      <c r="F34" s="1" t="s">
        <v>20</v>
      </c>
      <c r="G34" s="1" t="s">
        <v>18</v>
      </c>
      <c r="H34" s="1" t="s">
        <v>80</v>
      </c>
      <c r="I34" s="1" t="s">
        <v>182</v>
      </c>
      <c r="J34" s="1" t="s">
        <v>80</v>
      </c>
      <c r="K34" s="1" t="s">
        <v>9</v>
      </c>
      <c r="L34" s="1" t="s">
        <v>9</v>
      </c>
      <c r="M34" s="1" t="s">
        <v>63</v>
      </c>
      <c r="N34" s="1" t="s">
        <v>2</v>
      </c>
      <c r="O34" s="1">
        <v>1</v>
      </c>
      <c r="P34" s="1">
        <f>IF(Table13[[#This Row],[design]]="Cross-sectional",0,1)</f>
        <v>0</v>
      </c>
      <c r="Q34" s="1">
        <f>IF(Table13[[#This Row],[adj]]="Adjusted",1,0)</f>
        <v>0</v>
      </c>
      <c r="R34" s="1">
        <f>SUM(Table13[[#This Row],[representative]:[adjust]])</f>
        <v>1</v>
      </c>
    </row>
    <row r="35" spans="1:18" x14ac:dyDescent="0.25">
      <c r="A35" s="1" t="s">
        <v>176</v>
      </c>
      <c r="B35" s="1" t="s">
        <v>175</v>
      </c>
      <c r="C35" s="1" t="s">
        <v>174</v>
      </c>
      <c r="D35" s="1">
        <v>2019</v>
      </c>
      <c r="E35" s="1" t="s">
        <v>21</v>
      </c>
      <c r="F35" s="1" t="s">
        <v>20</v>
      </c>
      <c r="G35" s="1" t="s">
        <v>18</v>
      </c>
      <c r="H35" s="1" t="s">
        <v>80</v>
      </c>
      <c r="I35" s="1" t="s">
        <v>179</v>
      </c>
      <c r="J35" s="1" t="s">
        <v>80</v>
      </c>
      <c r="K35" s="1" t="s">
        <v>9</v>
      </c>
      <c r="L35" s="1" t="s">
        <v>9</v>
      </c>
      <c r="M35" s="1" t="s">
        <v>160</v>
      </c>
      <c r="N35" s="1" t="s">
        <v>2</v>
      </c>
      <c r="O35" s="1">
        <v>1</v>
      </c>
      <c r="P35" s="1">
        <f>IF(Table13[[#This Row],[design]]="Cross-sectional",0,1)</f>
        <v>0</v>
      </c>
      <c r="Q35" s="1">
        <f>IF(Table13[[#This Row],[adj]]="Adjusted",1,0)</f>
        <v>0</v>
      </c>
      <c r="R35" s="1">
        <f>SUM(Table13[[#This Row],[representative]:[adjust]])</f>
        <v>1</v>
      </c>
    </row>
    <row r="36" spans="1:18" x14ac:dyDescent="0.25">
      <c r="A36" s="1" t="s">
        <v>176</v>
      </c>
      <c r="B36" s="1" t="s">
        <v>175</v>
      </c>
      <c r="C36" s="1" t="s">
        <v>174</v>
      </c>
      <c r="D36" s="1">
        <v>2019</v>
      </c>
      <c r="E36" s="1" t="s">
        <v>21</v>
      </c>
      <c r="F36" s="1" t="s">
        <v>20</v>
      </c>
      <c r="G36" s="1" t="s">
        <v>18</v>
      </c>
      <c r="H36" s="1" t="s">
        <v>11</v>
      </c>
      <c r="I36" s="1" t="s">
        <v>173</v>
      </c>
      <c r="J36" s="1" t="s">
        <v>173</v>
      </c>
      <c r="K36" s="1" t="s">
        <v>9</v>
      </c>
      <c r="L36" s="1" t="s">
        <v>9</v>
      </c>
      <c r="M36" s="1" t="s">
        <v>8</v>
      </c>
      <c r="N36" s="1" t="s">
        <v>2</v>
      </c>
      <c r="O36" s="1">
        <v>1</v>
      </c>
      <c r="P36" s="1">
        <f>IF(Table13[[#This Row],[design]]="Cross-sectional",0,1)</f>
        <v>0</v>
      </c>
      <c r="Q36" s="1">
        <f>IF(Table13[[#This Row],[adj]]="Adjusted",1,0)</f>
        <v>0</v>
      </c>
      <c r="R36" s="1">
        <f>SUM(Table13[[#This Row],[representative]:[adjust]])</f>
        <v>1</v>
      </c>
    </row>
    <row r="37" spans="1:18" x14ac:dyDescent="0.25">
      <c r="A37" s="1" t="s">
        <v>168</v>
      </c>
      <c r="B37" s="1" t="s">
        <v>167</v>
      </c>
      <c r="C37" s="1" t="s">
        <v>166</v>
      </c>
      <c r="D37" s="1">
        <v>2017</v>
      </c>
      <c r="E37" s="1" t="s">
        <v>21</v>
      </c>
      <c r="F37" s="1" t="s">
        <v>20</v>
      </c>
      <c r="G37" s="1" t="s">
        <v>18</v>
      </c>
      <c r="H37" s="1" t="s">
        <v>39</v>
      </c>
      <c r="I37" s="1" t="s">
        <v>161</v>
      </c>
      <c r="J37" s="1" t="s">
        <v>161</v>
      </c>
      <c r="K37" s="1" t="s">
        <v>9</v>
      </c>
      <c r="L37" s="1" t="s">
        <v>9</v>
      </c>
      <c r="M37" s="1" t="s">
        <v>160</v>
      </c>
      <c r="N37" s="1" t="s">
        <v>2</v>
      </c>
      <c r="O37" s="1">
        <v>1</v>
      </c>
      <c r="P37" s="1">
        <f>IF(Table13[[#This Row],[design]]="Cross-sectional",0,1)</f>
        <v>0</v>
      </c>
      <c r="Q37" s="1">
        <f>IF(Table13[[#This Row],[adj]]="Adjusted",1,0)</f>
        <v>0</v>
      </c>
      <c r="R37" s="1">
        <f>SUM(Table13[[#This Row],[representative]:[adjust]])</f>
        <v>1</v>
      </c>
    </row>
    <row r="38" spans="1:18" x14ac:dyDescent="0.25">
      <c r="A38" s="1" t="s">
        <v>168</v>
      </c>
      <c r="B38" s="1" t="s">
        <v>167</v>
      </c>
      <c r="C38" s="1" t="s">
        <v>166</v>
      </c>
      <c r="D38" s="1">
        <v>2017</v>
      </c>
      <c r="E38" s="1" t="s">
        <v>21</v>
      </c>
      <c r="F38" s="1" t="s">
        <v>20</v>
      </c>
      <c r="G38" s="1" t="s">
        <v>18</v>
      </c>
      <c r="H38" s="1" t="s">
        <v>11</v>
      </c>
      <c r="I38" s="1" t="s">
        <v>171</v>
      </c>
      <c r="J38" s="1" t="s">
        <v>171</v>
      </c>
      <c r="K38" s="1" t="s">
        <v>9</v>
      </c>
      <c r="L38" s="1" t="s">
        <v>9</v>
      </c>
      <c r="M38" s="1" t="s">
        <v>8</v>
      </c>
      <c r="N38" s="1" t="s">
        <v>2</v>
      </c>
      <c r="O38" s="1">
        <v>1</v>
      </c>
      <c r="P38" s="1">
        <f>IF(Table13[[#This Row],[design]]="Cross-sectional",0,1)</f>
        <v>0</v>
      </c>
      <c r="Q38" s="1">
        <f>IF(Table13[[#This Row],[adj]]="Adjusted",1,0)</f>
        <v>0</v>
      </c>
      <c r="R38" s="1">
        <f>SUM(Table13[[#This Row],[representative]:[adjust]])</f>
        <v>1</v>
      </c>
    </row>
    <row r="39" spans="1:18" x14ac:dyDescent="0.25">
      <c r="A39" s="1" t="s">
        <v>151</v>
      </c>
      <c r="B39" s="1" t="s">
        <v>150</v>
      </c>
      <c r="C39" s="1" t="s">
        <v>149</v>
      </c>
      <c r="D39" s="1">
        <v>2024</v>
      </c>
      <c r="E39" s="1" t="s">
        <v>21</v>
      </c>
      <c r="F39" s="1" t="s">
        <v>20</v>
      </c>
      <c r="G39" s="1" t="s">
        <v>148</v>
      </c>
      <c r="H39" s="1" t="s">
        <v>11</v>
      </c>
      <c r="I39" s="1" t="s">
        <v>155</v>
      </c>
      <c r="J39" s="1" t="s">
        <v>154</v>
      </c>
      <c r="K39" s="1" t="s">
        <v>9</v>
      </c>
      <c r="L39" s="1" t="s">
        <v>9</v>
      </c>
      <c r="M39" s="1" t="s">
        <v>8</v>
      </c>
      <c r="N39" s="1" t="s">
        <v>35</v>
      </c>
      <c r="O39" s="1">
        <v>0</v>
      </c>
      <c r="P39" s="1">
        <f>IF(Table13[[#This Row],[design]]="Cross-sectional",0,1)</f>
        <v>0</v>
      </c>
      <c r="Q39" s="1">
        <f>IF(Table13[[#This Row],[adj]]="Adjusted",1,0)</f>
        <v>1</v>
      </c>
      <c r="R39" s="1">
        <f>SUM(Table13[[#This Row],[representative]:[adjust]])</f>
        <v>1</v>
      </c>
    </row>
    <row r="40" spans="1:18" x14ac:dyDescent="0.25">
      <c r="A40" s="1" t="s">
        <v>151</v>
      </c>
      <c r="B40" s="1" t="s">
        <v>150</v>
      </c>
      <c r="C40" s="1" t="s">
        <v>149</v>
      </c>
      <c r="D40" s="1">
        <v>2024</v>
      </c>
      <c r="E40" s="1" t="s">
        <v>21</v>
      </c>
      <c r="F40" s="1" t="s">
        <v>20</v>
      </c>
      <c r="G40" s="1" t="s">
        <v>148</v>
      </c>
      <c r="H40" s="1" t="s">
        <v>80</v>
      </c>
      <c r="I40" s="1" t="s">
        <v>143</v>
      </c>
      <c r="J40" s="1" t="s">
        <v>80</v>
      </c>
      <c r="K40" s="1" t="s">
        <v>9</v>
      </c>
      <c r="L40" s="1" t="s">
        <v>9</v>
      </c>
      <c r="M40" s="1" t="s">
        <v>8</v>
      </c>
      <c r="N40" s="1" t="s">
        <v>35</v>
      </c>
      <c r="O40" s="1">
        <v>0</v>
      </c>
      <c r="P40" s="1">
        <f>IF(Table13[[#This Row],[design]]="Cross-sectional",0,1)</f>
        <v>0</v>
      </c>
      <c r="Q40" s="1">
        <f>IF(Table13[[#This Row],[adj]]="Adjusted",1,0)</f>
        <v>1</v>
      </c>
      <c r="R40" s="1">
        <f>SUM(Table13[[#This Row],[representative]:[adjust]])</f>
        <v>1</v>
      </c>
    </row>
    <row r="41" spans="1:18" x14ac:dyDescent="0.25">
      <c r="A41" s="1" t="s">
        <v>138</v>
      </c>
      <c r="B41" s="1" t="s">
        <v>137</v>
      </c>
      <c r="C41" s="1" t="s">
        <v>136</v>
      </c>
      <c r="D41" s="1">
        <v>2011</v>
      </c>
      <c r="E41" s="1" t="s">
        <v>21</v>
      </c>
      <c r="F41" s="1" t="s">
        <v>20</v>
      </c>
      <c r="G41" s="1" t="s">
        <v>18</v>
      </c>
      <c r="H41" s="1" t="s">
        <v>11</v>
      </c>
      <c r="I41" s="1" t="s">
        <v>131</v>
      </c>
      <c r="J41" s="1" t="s">
        <v>130</v>
      </c>
      <c r="K41" s="1" t="s">
        <v>9</v>
      </c>
      <c r="L41" s="1" t="s">
        <v>9</v>
      </c>
      <c r="M41" s="1" t="s">
        <v>8</v>
      </c>
      <c r="N41" s="1" t="s">
        <v>2</v>
      </c>
      <c r="O41" s="1">
        <v>1</v>
      </c>
      <c r="P41" s="1">
        <f>IF(Table13[[#This Row],[design]]="Cross-sectional",0,1)</f>
        <v>0</v>
      </c>
      <c r="Q41" s="1">
        <f>IF(Table13[[#This Row],[adj]]="Adjusted",1,0)</f>
        <v>0</v>
      </c>
      <c r="R41" s="1">
        <f>SUM(Table13[[#This Row],[representative]:[adjust]])</f>
        <v>1</v>
      </c>
    </row>
    <row r="42" spans="1:18" x14ac:dyDescent="0.25">
      <c r="A42" s="1" t="s">
        <v>121</v>
      </c>
      <c r="B42" s="1" t="s">
        <v>120</v>
      </c>
      <c r="C42" s="1" t="s">
        <v>119</v>
      </c>
      <c r="D42" s="1">
        <v>2020</v>
      </c>
      <c r="E42" s="1" t="s">
        <v>21</v>
      </c>
      <c r="F42" s="1" t="s">
        <v>20</v>
      </c>
      <c r="G42" s="1" t="s">
        <v>18</v>
      </c>
      <c r="H42" s="1" t="s">
        <v>39</v>
      </c>
      <c r="I42" s="1" t="s">
        <v>114</v>
      </c>
      <c r="J42" s="1" t="s">
        <v>126</v>
      </c>
      <c r="K42" s="1" t="s">
        <v>112</v>
      </c>
      <c r="L42" s="1" t="s">
        <v>53</v>
      </c>
      <c r="M42" s="1" t="s">
        <v>8</v>
      </c>
      <c r="N42" s="1" t="s">
        <v>2</v>
      </c>
      <c r="O42" s="1">
        <v>1</v>
      </c>
      <c r="P42" s="1">
        <f>IF(Table13[[#This Row],[design]]="Cross-sectional",0,1)</f>
        <v>0</v>
      </c>
      <c r="Q42" s="1">
        <f>IF(Table13[[#This Row],[adj]]="Adjusted",1,0)</f>
        <v>0</v>
      </c>
      <c r="R42" s="1">
        <f>SUM(Table13[[#This Row],[representative]:[adjust]])</f>
        <v>1</v>
      </c>
    </row>
    <row r="43" spans="1:18" x14ac:dyDescent="0.25">
      <c r="A43" s="1" t="s">
        <v>121</v>
      </c>
      <c r="B43" s="1" t="s">
        <v>120</v>
      </c>
      <c r="C43" s="1" t="s">
        <v>119</v>
      </c>
      <c r="D43" s="1">
        <v>2020</v>
      </c>
      <c r="E43" s="1" t="s">
        <v>21</v>
      </c>
      <c r="F43" s="1" t="s">
        <v>20</v>
      </c>
      <c r="G43" s="1" t="s">
        <v>18</v>
      </c>
      <c r="H43" s="1" t="s">
        <v>39</v>
      </c>
      <c r="I43" s="1" t="s">
        <v>114</v>
      </c>
      <c r="J43" s="1" t="s">
        <v>126</v>
      </c>
      <c r="K43" s="1" t="s">
        <v>112</v>
      </c>
      <c r="L43" s="1" t="s">
        <v>53</v>
      </c>
      <c r="M43" s="1" t="s">
        <v>129</v>
      </c>
      <c r="N43" s="1" t="s">
        <v>2</v>
      </c>
      <c r="O43" s="1">
        <v>1</v>
      </c>
      <c r="P43" s="1">
        <f>IF(Table13[[#This Row],[design]]="Cross-sectional",0,1)</f>
        <v>0</v>
      </c>
      <c r="Q43" s="1">
        <f>IF(Table13[[#This Row],[adj]]="Adjusted",1,0)</f>
        <v>0</v>
      </c>
      <c r="R43" s="1">
        <f>SUM(Table13[[#This Row],[representative]:[adjust]])</f>
        <v>1</v>
      </c>
    </row>
    <row r="44" spans="1:18" x14ac:dyDescent="0.25">
      <c r="A44" s="1" t="s">
        <v>121</v>
      </c>
      <c r="B44" s="1" t="s">
        <v>120</v>
      </c>
      <c r="C44" s="1" t="s">
        <v>119</v>
      </c>
      <c r="D44" s="1">
        <v>2020</v>
      </c>
      <c r="E44" s="1" t="s">
        <v>21</v>
      </c>
      <c r="F44" s="1" t="s">
        <v>20</v>
      </c>
      <c r="G44" s="1" t="s">
        <v>18</v>
      </c>
      <c r="H44" s="1" t="s">
        <v>39</v>
      </c>
      <c r="I44" s="1" t="s">
        <v>114</v>
      </c>
      <c r="J44" s="1" t="s">
        <v>113</v>
      </c>
      <c r="K44" s="1" t="s">
        <v>112</v>
      </c>
      <c r="L44" s="1" t="s">
        <v>53</v>
      </c>
      <c r="M44" s="1" t="s">
        <v>8</v>
      </c>
      <c r="N44" s="1" t="s">
        <v>2</v>
      </c>
      <c r="O44" s="1">
        <v>1</v>
      </c>
      <c r="P44" s="1">
        <f>IF(Table13[[#This Row],[design]]="Cross-sectional",0,1)</f>
        <v>0</v>
      </c>
      <c r="Q44" s="1">
        <f>IF(Table13[[#This Row],[adj]]="Adjusted",1,0)</f>
        <v>0</v>
      </c>
      <c r="R44" s="1">
        <f>SUM(Table13[[#This Row],[representative]:[adjust]])</f>
        <v>1</v>
      </c>
    </row>
    <row r="45" spans="1:18" x14ac:dyDescent="0.25">
      <c r="A45" s="1" t="s">
        <v>98</v>
      </c>
      <c r="B45" s="1" t="s">
        <v>97</v>
      </c>
      <c r="C45" s="1" t="s">
        <v>44</v>
      </c>
      <c r="D45" s="1">
        <v>2012</v>
      </c>
      <c r="E45" s="1" t="s">
        <v>21</v>
      </c>
      <c r="F45" s="1" t="s">
        <v>20</v>
      </c>
      <c r="G45" s="1" t="s">
        <v>18</v>
      </c>
      <c r="H45" s="1" t="s">
        <v>80</v>
      </c>
      <c r="I45" s="1" t="s">
        <v>93</v>
      </c>
      <c r="J45" s="1" t="s">
        <v>80</v>
      </c>
      <c r="K45" s="1" t="s">
        <v>41</v>
      </c>
      <c r="L45" s="1" t="s">
        <v>53</v>
      </c>
      <c r="M45" s="1" t="s">
        <v>63</v>
      </c>
      <c r="N45" s="1" t="s">
        <v>2</v>
      </c>
      <c r="O45" s="1">
        <v>1</v>
      </c>
      <c r="P45" s="1">
        <f>IF(Table13[[#This Row],[design]]="Cross-sectional",0,1)</f>
        <v>0</v>
      </c>
      <c r="Q45" s="1">
        <f>IF(Table13[[#This Row],[adj]]="Adjusted",1,0)</f>
        <v>0</v>
      </c>
      <c r="R45" s="1">
        <f>SUM(Table13[[#This Row],[representative]:[adjust]])</f>
        <v>1</v>
      </c>
    </row>
    <row r="46" spans="1:18" x14ac:dyDescent="0.25">
      <c r="A46" s="1" t="s">
        <v>98</v>
      </c>
      <c r="B46" s="1" t="s">
        <v>97</v>
      </c>
      <c r="C46" s="1" t="s">
        <v>44</v>
      </c>
      <c r="D46" s="1">
        <v>2012</v>
      </c>
      <c r="E46" s="1" t="s">
        <v>21</v>
      </c>
      <c r="F46" s="1" t="s">
        <v>20</v>
      </c>
      <c r="G46" s="1" t="s">
        <v>18</v>
      </c>
      <c r="H46" s="1" t="s">
        <v>80</v>
      </c>
      <c r="I46" s="1" t="s">
        <v>1449</v>
      </c>
      <c r="J46" s="1" t="s">
        <v>80</v>
      </c>
      <c r="K46" s="1" t="s">
        <v>41</v>
      </c>
      <c r="L46" s="1" t="s">
        <v>53</v>
      </c>
      <c r="M46" s="1" t="s">
        <v>79</v>
      </c>
      <c r="N46" s="1" t="s">
        <v>2</v>
      </c>
      <c r="O46" s="1">
        <v>1</v>
      </c>
      <c r="P46" s="1">
        <f>IF(Table13[[#This Row],[design]]="Cross-sectional",0,1)</f>
        <v>0</v>
      </c>
      <c r="Q46" s="1">
        <f>IF(Table13[[#This Row],[adj]]="Adjusted",1,0)</f>
        <v>0</v>
      </c>
      <c r="R46" s="1">
        <f>SUM(Table13[[#This Row],[representative]:[adjust]])</f>
        <v>1</v>
      </c>
    </row>
    <row r="47" spans="1:18" x14ac:dyDescent="0.25">
      <c r="A47" s="1" t="s">
        <v>98</v>
      </c>
      <c r="B47" s="1" t="s">
        <v>97</v>
      </c>
      <c r="C47" s="1" t="s">
        <v>44</v>
      </c>
      <c r="D47" s="1">
        <v>2012</v>
      </c>
      <c r="E47" s="1" t="s">
        <v>21</v>
      </c>
      <c r="F47" s="1" t="s">
        <v>20</v>
      </c>
      <c r="G47" s="1" t="s">
        <v>18</v>
      </c>
      <c r="H47" s="1" t="s">
        <v>11</v>
      </c>
      <c r="I47" s="1" t="s">
        <v>1450</v>
      </c>
      <c r="J47" s="1" t="s">
        <v>11</v>
      </c>
      <c r="K47" s="1" t="s">
        <v>41</v>
      </c>
      <c r="L47" s="1" t="s">
        <v>53</v>
      </c>
      <c r="M47" s="1" t="s">
        <v>79</v>
      </c>
      <c r="N47" s="1" t="s">
        <v>2</v>
      </c>
      <c r="O47" s="1">
        <v>1</v>
      </c>
      <c r="P47" s="1">
        <f>IF(Table13[[#This Row],[design]]="Cross-sectional",0,1)</f>
        <v>0</v>
      </c>
      <c r="Q47" s="1">
        <f>IF(Table13[[#This Row],[adj]]="Adjusted",1,0)</f>
        <v>0</v>
      </c>
      <c r="R47" s="1">
        <f>SUM(Table13[[#This Row],[representative]:[adjust]])</f>
        <v>1</v>
      </c>
    </row>
    <row r="48" spans="1:18" x14ac:dyDescent="0.25">
      <c r="A48" s="1" t="s">
        <v>98</v>
      </c>
      <c r="B48" s="1" t="s">
        <v>97</v>
      </c>
      <c r="C48" s="1" t="s">
        <v>44</v>
      </c>
      <c r="D48" s="1">
        <v>2012</v>
      </c>
      <c r="E48" s="1" t="s">
        <v>21</v>
      </c>
      <c r="F48" s="1" t="s">
        <v>20</v>
      </c>
      <c r="G48" s="1" t="s">
        <v>18</v>
      </c>
      <c r="H48" s="1" t="s">
        <v>80</v>
      </c>
      <c r="I48" s="1" t="s">
        <v>106</v>
      </c>
      <c r="J48" s="1" t="s">
        <v>105</v>
      </c>
      <c r="K48" s="1" t="s">
        <v>41</v>
      </c>
      <c r="L48" s="1" t="s">
        <v>53</v>
      </c>
      <c r="M48" s="1" t="s">
        <v>79</v>
      </c>
      <c r="N48" s="1" t="s">
        <v>2</v>
      </c>
      <c r="O48" s="1">
        <v>1</v>
      </c>
      <c r="P48" s="1">
        <f>IF(Table13[[#This Row],[design]]="Cross-sectional",0,1)</f>
        <v>0</v>
      </c>
      <c r="Q48" s="1">
        <f>IF(Table13[[#This Row],[adj]]="Adjusted",1,0)</f>
        <v>0</v>
      </c>
      <c r="R48" s="1">
        <f>SUM(Table13[[#This Row],[representative]:[adjust]])</f>
        <v>1</v>
      </c>
    </row>
    <row r="49" spans="1:18" x14ac:dyDescent="0.25">
      <c r="A49" s="1" t="s">
        <v>98</v>
      </c>
      <c r="B49" s="1" t="s">
        <v>97</v>
      </c>
      <c r="C49" s="1" t="s">
        <v>44</v>
      </c>
      <c r="D49" s="1">
        <v>2012</v>
      </c>
      <c r="E49" s="1" t="s">
        <v>21</v>
      </c>
      <c r="F49" s="1" t="s">
        <v>20</v>
      </c>
      <c r="G49" s="1" t="s">
        <v>18</v>
      </c>
      <c r="H49" s="1" t="s">
        <v>513</v>
      </c>
      <c r="I49" s="1" t="s">
        <v>1451</v>
      </c>
      <c r="J49" s="1" t="s">
        <v>1452</v>
      </c>
      <c r="K49" s="1" t="s">
        <v>9</v>
      </c>
      <c r="L49" s="1" t="s">
        <v>9</v>
      </c>
      <c r="M49" s="1" t="s">
        <v>8</v>
      </c>
      <c r="N49" s="1" t="s">
        <v>2</v>
      </c>
      <c r="O49" s="1">
        <v>1</v>
      </c>
      <c r="P49" s="1">
        <f>IF(Table13[[#This Row],[design]]="Cross-sectional",0,1)</f>
        <v>0</v>
      </c>
      <c r="Q49" s="1">
        <f>IF(Table13[[#This Row],[adj]]="Adjusted",1,0)</f>
        <v>0</v>
      </c>
      <c r="R49" s="1">
        <f>SUM(Table13[[#This Row],[representative]:[adjust]])</f>
        <v>1</v>
      </c>
    </row>
    <row r="50" spans="1:18" x14ac:dyDescent="0.25">
      <c r="A50" s="1" t="s">
        <v>98</v>
      </c>
      <c r="B50" s="1" t="s">
        <v>97</v>
      </c>
      <c r="C50" s="1" t="s">
        <v>44</v>
      </c>
      <c r="D50" s="1">
        <v>2012</v>
      </c>
      <c r="E50" s="1" t="s">
        <v>21</v>
      </c>
      <c r="F50" s="1" t="s">
        <v>20</v>
      </c>
      <c r="G50" s="1" t="s">
        <v>18</v>
      </c>
      <c r="H50" s="1" t="s">
        <v>11</v>
      </c>
      <c r="I50" s="1" t="s">
        <v>102</v>
      </c>
      <c r="J50" s="1" t="s">
        <v>101</v>
      </c>
      <c r="K50" s="1" t="s">
        <v>67</v>
      </c>
      <c r="L50" s="1" t="s">
        <v>53</v>
      </c>
      <c r="M50" s="1" t="s">
        <v>74</v>
      </c>
      <c r="N50" s="1" t="s">
        <v>2</v>
      </c>
      <c r="O50" s="1">
        <v>1</v>
      </c>
      <c r="P50" s="1">
        <f>IF(Table13[[#This Row],[design]]="Cross-sectional",0,1)</f>
        <v>0</v>
      </c>
      <c r="Q50" s="1">
        <f>IF(Table13[[#This Row],[adj]]="Adjusted",1,0)</f>
        <v>0</v>
      </c>
      <c r="R50" s="1">
        <f>SUM(Table13[[#This Row],[representative]:[adjust]])</f>
        <v>1</v>
      </c>
    </row>
    <row r="51" spans="1:18" x14ac:dyDescent="0.25">
      <c r="A51" s="1" t="s">
        <v>72</v>
      </c>
      <c r="B51" s="1" t="s">
        <v>71</v>
      </c>
      <c r="C51" s="1" t="s">
        <v>44</v>
      </c>
      <c r="D51" s="1">
        <v>2014</v>
      </c>
      <c r="E51" s="1" t="s">
        <v>21</v>
      </c>
      <c r="F51" s="1" t="s">
        <v>20</v>
      </c>
      <c r="G51" s="1" t="s">
        <v>18</v>
      </c>
      <c r="H51" s="1" t="s">
        <v>11</v>
      </c>
      <c r="I51" s="1" t="s">
        <v>65</v>
      </c>
      <c r="J51" s="1" t="s">
        <v>64</v>
      </c>
      <c r="K51" s="1" t="s">
        <v>14</v>
      </c>
      <c r="L51" s="1" t="s">
        <v>53</v>
      </c>
      <c r="M51" s="1" t="s">
        <v>63</v>
      </c>
      <c r="N51" s="1" t="s">
        <v>35</v>
      </c>
      <c r="O51" s="1">
        <v>1</v>
      </c>
      <c r="P51" s="1">
        <f>IF(Table13[[#This Row],[design]]="Cross-sectional",0,1)</f>
        <v>0</v>
      </c>
      <c r="Q51" s="1">
        <f>IF(Table13[[#This Row],[adj]]="Adjusted",1,0)</f>
        <v>1</v>
      </c>
      <c r="R51" s="1">
        <f>SUM(Table13[[#This Row],[representative]:[adjust]])</f>
        <v>2</v>
      </c>
    </row>
    <row r="52" spans="1:18" x14ac:dyDescent="0.25">
      <c r="A52" s="1" t="s">
        <v>72</v>
      </c>
      <c r="B52" s="1" t="s">
        <v>71</v>
      </c>
      <c r="C52" s="1" t="s">
        <v>44</v>
      </c>
      <c r="D52" s="1">
        <v>2014</v>
      </c>
      <c r="E52" s="1" t="s">
        <v>21</v>
      </c>
      <c r="F52" s="1" t="s">
        <v>20</v>
      </c>
      <c r="G52" s="1" t="s">
        <v>18</v>
      </c>
      <c r="H52" s="1" t="s">
        <v>11</v>
      </c>
      <c r="I52" s="1" t="s">
        <v>85</v>
      </c>
      <c r="J52" s="1" t="s">
        <v>84</v>
      </c>
      <c r="K52" s="1" t="s">
        <v>14</v>
      </c>
      <c r="L52" s="1" t="s">
        <v>53</v>
      </c>
      <c r="M52" s="1" t="s">
        <v>63</v>
      </c>
      <c r="N52" s="1" t="s">
        <v>35</v>
      </c>
      <c r="O52" s="1">
        <v>1</v>
      </c>
      <c r="P52" s="1">
        <f>IF(Table13[[#This Row],[design]]="Cross-sectional",0,1)</f>
        <v>0</v>
      </c>
      <c r="Q52" s="1">
        <f>IF(Table13[[#This Row],[adj]]="Adjusted",1,0)</f>
        <v>1</v>
      </c>
      <c r="R52" s="1">
        <f>SUM(Table13[[#This Row],[representative]:[adjust]])</f>
        <v>2</v>
      </c>
    </row>
    <row r="53" spans="1:18" x14ac:dyDescent="0.25">
      <c r="A53" s="1" t="s">
        <v>72</v>
      </c>
      <c r="B53" s="1" t="s">
        <v>71</v>
      </c>
      <c r="C53" s="1" t="s">
        <v>44</v>
      </c>
      <c r="D53" s="1">
        <v>2014</v>
      </c>
      <c r="E53" s="1" t="s">
        <v>21</v>
      </c>
      <c r="F53" s="1" t="s">
        <v>20</v>
      </c>
      <c r="G53" s="1" t="s">
        <v>18</v>
      </c>
      <c r="H53" s="1" t="s">
        <v>80</v>
      </c>
      <c r="I53" s="1" t="s">
        <v>88</v>
      </c>
      <c r="J53" s="1" t="s">
        <v>80</v>
      </c>
      <c r="K53" s="1" t="s">
        <v>14</v>
      </c>
      <c r="L53" s="1" t="s">
        <v>53</v>
      </c>
      <c r="M53" s="1" t="s">
        <v>63</v>
      </c>
      <c r="N53" s="1" t="s">
        <v>35</v>
      </c>
      <c r="O53" s="1">
        <v>1</v>
      </c>
      <c r="P53" s="1">
        <f>IF(Table13[[#This Row],[design]]="Cross-sectional",0,1)</f>
        <v>0</v>
      </c>
      <c r="Q53" s="1">
        <f>IF(Table13[[#This Row],[adj]]="Adjusted",1,0)</f>
        <v>1</v>
      </c>
      <c r="R53" s="1">
        <f>SUM(Table13[[#This Row],[representative]:[adjust]])</f>
        <v>2</v>
      </c>
    </row>
    <row r="54" spans="1:18" x14ac:dyDescent="0.25">
      <c r="A54" s="1" t="s">
        <v>72</v>
      </c>
      <c r="B54" s="1" t="s">
        <v>71</v>
      </c>
      <c r="C54" s="1" t="s">
        <v>44</v>
      </c>
      <c r="D54" s="1">
        <v>2014</v>
      </c>
      <c r="E54" s="1" t="s">
        <v>21</v>
      </c>
      <c r="F54" s="1" t="s">
        <v>20</v>
      </c>
      <c r="G54" s="1" t="s">
        <v>18</v>
      </c>
      <c r="H54" s="1" t="s">
        <v>80</v>
      </c>
      <c r="I54" s="1" t="s">
        <v>81</v>
      </c>
      <c r="J54" s="1" t="s">
        <v>80</v>
      </c>
      <c r="K54" s="1" t="s">
        <v>9</v>
      </c>
      <c r="L54" s="1" t="s">
        <v>9</v>
      </c>
      <c r="M54" s="1" t="s">
        <v>79</v>
      </c>
      <c r="N54" s="1" t="s">
        <v>35</v>
      </c>
      <c r="O54" s="1">
        <v>1</v>
      </c>
      <c r="P54" s="1">
        <f>IF(Table13[[#This Row],[design]]="Cross-sectional",0,1)</f>
        <v>0</v>
      </c>
      <c r="Q54" s="1">
        <f>IF(Table13[[#This Row],[adj]]="Adjusted",1,0)</f>
        <v>1</v>
      </c>
      <c r="R54" s="1">
        <f>SUM(Table13[[#This Row],[representative]:[adjust]])</f>
        <v>2</v>
      </c>
    </row>
    <row r="55" spans="1:18" x14ac:dyDescent="0.25">
      <c r="A55" s="1" t="s">
        <v>72</v>
      </c>
      <c r="B55" s="1" t="s">
        <v>71</v>
      </c>
      <c r="C55" s="1" t="s">
        <v>44</v>
      </c>
      <c r="D55" s="1">
        <v>2014</v>
      </c>
      <c r="E55" s="1" t="s">
        <v>21</v>
      </c>
      <c r="F55" s="1" t="s">
        <v>20</v>
      </c>
      <c r="G55" s="1" t="s">
        <v>18</v>
      </c>
      <c r="H55" s="1" t="s">
        <v>11</v>
      </c>
      <c r="I55" s="1" t="s">
        <v>76</v>
      </c>
      <c r="J55" s="1" t="s">
        <v>75</v>
      </c>
      <c r="K55" s="1" t="s">
        <v>14</v>
      </c>
      <c r="L55" s="1" t="s">
        <v>53</v>
      </c>
      <c r="M55" s="1" t="s">
        <v>74</v>
      </c>
      <c r="N55" s="1" t="s">
        <v>35</v>
      </c>
      <c r="O55" s="1">
        <v>1</v>
      </c>
      <c r="P55" s="1">
        <f>IF(Table13[[#This Row],[design]]="Cross-sectional",0,1)</f>
        <v>0</v>
      </c>
      <c r="Q55" s="1">
        <f>IF(Table13[[#This Row],[adj]]="Adjusted",1,0)</f>
        <v>1</v>
      </c>
      <c r="R55" s="1">
        <f>SUM(Table13[[#This Row],[representative]:[adjust]])</f>
        <v>2</v>
      </c>
    </row>
    <row r="56" spans="1:18" x14ac:dyDescent="0.25">
      <c r="A56" s="1" t="s">
        <v>46</v>
      </c>
      <c r="B56" s="1" t="s">
        <v>45</v>
      </c>
      <c r="C56" s="1" t="s">
        <v>44</v>
      </c>
      <c r="D56" s="1">
        <v>2016</v>
      </c>
      <c r="E56" s="1" t="s">
        <v>21</v>
      </c>
      <c r="F56" s="1" t="s">
        <v>20</v>
      </c>
      <c r="G56" s="1" t="s">
        <v>18</v>
      </c>
      <c r="H56" s="1" t="s">
        <v>39</v>
      </c>
      <c r="I56" s="1" t="s">
        <v>38</v>
      </c>
      <c r="J56" s="1" t="s">
        <v>51</v>
      </c>
      <c r="K56" s="1" t="s">
        <v>9</v>
      </c>
      <c r="L56" s="1" t="s">
        <v>9</v>
      </c>
      <c r="M56" s="1" t="s">
        <v>8</v>
      </c>
      <c r="N56" s="1" t="s">
        <v>35</v>
      </c>
      <c r="O56" s="1">
        <v>1</v>
      </c>
      <c r="P56" s="1">
        <f>IF(Table13[[#This Row],[design]]="Cross-sectional",0,1)</f>
        <v>0</v>
      </c>
      <c r="Q56" s="1">
        <f>IF(Table13[[#This Row],[adj]]="Adjusted",1,0)</f>
        <v>1</v>
      </c>
      <c r="R56" s="1">
        <f>SUM(Table13[[#This Row],[representative]:[adjust]])</f>
        <v>2</v>
      </c>
    </row>
    <row r="57" spans="1:18" x14ac:dyDescent="0.25">
      <c r="A57" s="1" t="s">
        <v>46</v>
      </c>
      <c r="B57" s="1" t="s">
        <v>45</v>
      </c>
      <c r="C57" s="1" t="s">
        <v>44</v>
      </c>
      <c r="D57" s="1">
        <v>2016</v>
      </c>
      <c r="E57" s="1" t="s">
        <v>21</v>
      </c>
      <c r="F57" s="1" t="s">
        <v>20</v>
      </c>
      <c r="G57" s="1" t="s">
        <v>18</v>
      </c>
      <c r="H57" s="1" t="s">
        <v>39</v>
      </c>
      <c r="I57" s="1" t="s">
        <v>38</v>
      </c>
      <c r="J57" s="1" t="s">
        <v>37</v>
      </c>
      <c r="K57" s="1" t="s">
        <v>9</v>
      </c>
      <c r="L57" s="1" t="s">
        <v>9</v>
      </c>
      <c r="M57" s="1" t="s">
        <v>8</v>
      </c>
      <c r="N57" s="1" t="s">
        <v>35</v>
      </c>
      <c r="O57" s="1">
        <v>1</v>
      </c>
      <c r="P57" s="1">
        <f>IF(Table13[[#This Row],[design]]="Cross-sectional",0,1)</f>
        <v>0</v>
      </c>
      <c r="Q57" s="1">
        <f>IF(Table13[[#This Row],[adj]]="Adjusted",1,0)</f>
        <v>1</v>
      </c>
      <c r="R57" s="1">
        <f>SUM(Table13[[#This Row],[representative]:[adjust]])</f>
        <v>2</v>
      </c>
    </row>
    <row r="58" spans="1:18" x14ac:dyDescent="0.25">
      <c r="A58" s="1" t="s">
        <v>25</v>
      </c>
      <c r="B58" s="1" t="s">
        <v>24</v>
      </c>
      <c r="C58" s="1" t="s">
        <v>23</v>
      </c>
      <c r="D58" s="1">
        <v>2018</v>
      </c>
      <c r="E58" s="1" t="s">
        <v>21</v>
      </c>
      <c r="F58" s="1" t="s">
        <v>20</v>
      </c>
      <c r="G58" s="1" t="s">
        <v>18</v>
      </c>
      <c r="H58" s="1" t="s">
        <v>11</v>
      </c>
      <c r="I58" s="1" t="s">
        <v>10</v>
      </c>
      <c r="J58" s="1" t="s">
        <v>10</v>
      </c>
      <c r="K58" s="1" t="s">
        <v>9</v>
      </c>
      <c r="L58" s="1" t="s">
        <v>9</v>
      </c>
      <c r="M58" s="1" t="s">
        <v>8</v>
      </c>
      <c r="N58" s="1" t="s">
        <v>2</v>
      </c>
      <c r="O58" s="1">
        <v>1</v>
      </c>
      <c r="P58" s="1">
        <f>IF(Table13[[#This Row],[design]]="Cross-sectional",0,1)</f>
        <v>0</v>
      </c>
      <c r="Q58" s="1">
        <f>IF(Table13[[#This Row],[adj]]="Adjusted",1,0)</f>
        <v>0</v>
      </c>
      <c r="R58" s="1">
        <f>SUM(Table13[[#This Row],[representative]:[adjust]])</f>
        <v>1</v>
      </c>
    </row>
    <row r="59" spans="1:18" x14ac:dyDescent="0.25">
      <c r="A59" s="1" t="s">
        <v>25</v>
      </c>
      <c r="B59" s="1" t="s">
        <v>24</v>
      </c>
      <c r="C59" s="1" t="s">
        <v>23</v>
      </c>
      <c r="D59" s="1">
        <v>2018</v>
      </c>
      <c r="E59" s="1" t="s">
        <v>21</v>
      </c>
      <c r="F59" s="1" t="s">
        <v>20</v>
      </c>
      <c r="G59" s="1" t="s">
        <v>18</v>
      </c>
      <c r="H59" s="1" t="s">
        <v>11</v>
      </c>
      <c r="I59" s="1" t="s">
        <v>10</v>
      </c>
      <c r="J59" s="1" t="s">
        <v>10</v>
      </c>
      <c r="K59" s="1" t="s">
        <v>9</v>
      </c>
      <c r="L59" s="1" t="s">
        <v>9</v>
      </c>
      <c r="M59" s="1" t="s">
        <v>8</v>
      </c>
      <c r="N59" s="1" t="s">
        <v>2</v>
      </c>
      <c r="O59" s="1">
        <v>1</v>
      </c>
      <c r="P59" s="1">
        <f>IF(Table13[[#This Row],[design]]="Cross-sectional",0,1)</f>
        <v>0</v>
      </c>
      <c r="Q59" s="1">
        <f>IF(Table13[[#This Row],[adj]]="Adjusted",1,0)</f>
        <v>0</v>
      </c>
      <c r="R59" s="1">
        <f>SUM(Table13[[#This Row],[representative]:[adjust]])</f>
        <v>1</v>
      </c>
    </row>
    <row r="60" spans="1:18" x14ac:dyDescent="0.25">
      <c r="A60" s="1" t="s">
        <v>449</v>
      </c>
      <c r="B60" s="1" t="s">
        <v>450</v>
      </c>
      <c r="C60" s="1" t="s">
        <v>451</v>
      </c>
      <c r="D60" s="1">
        <v>2016</v>
      </c>
      <c r="E60" s="1" t="s">
        <v>452</v>
      </c>
      <c r="F60" s="1" t="s">
        <v>20</v>
      </c>
      <c r="G60" s="1" t="s">
        <v>260</v>
      </c>
      <c r="H60" s="1" t="s">
        <v>39</v>
      </c>
      <c r="I60" s="1" t="s">
        <v>456</v>
      </c>
      <c r="J60" s="1" t="s">
        <v>457</v>
      </c>
      <c r="K60" s="1" t="s">
        <v>14</v>
      </c>
      <c r="L60" s="1" t="s">
        <v>53</v>
      </c>
      <c r="M60" s="1" t="s">
        <v>63</v>
      </c>
      <c r="N60" s="1" t="s">
        <v>2</v>
      </c>
      <c r="O60" s="1">
        <v>1</v>
      </c>
      <c r="P60" s="1">
        <f>IF(Table13[[#This Row],[design]]="Cross-sectional",0,1)</f>
        <v>1</v>
      </c>
      <c r="Q60" s="1">
        <f>IF(Table13[[#This Row],[adj]]="Adjusted",1,0)</f>
        <v>0</v>
      </c>
      <c r="R60" s="1">
        <f>SUM(Table13[[#This Row],[representative]:[adjust]])</f>
        <v>2</v>
      </c>
    </row>
    <row r="61" spans="1:18" x14ac:dyDescent="0.25">
      <c r="A61" s="1" t="s">
        <v>462</v>
      </c>
      <c r="B61" s="1" t="s">
        <v>463</v>
      </c>
      <c r="C61" s="1" t="s">
        <v>464</v>
      </c>
      <c r="D61" s="1">
        <v>2021</v>
      </c>
      <c r="E61" s="1" t="s">
        <v>21</v>
      </c>
      <c r="F61" s="1" t="s">
        <v>20</v>
      </c>
      <c r="G61" s="1" t="s">
        <v>278</v>
      </c>
      <c r="H61" s="1" t="s">
        <v>39</v>
      </c>
      <c r="I61" s="1" t="s">
        <v>469</v>
      </c>
      <c r="J61" s="1" t="s">
        <v>469</v>
      </c>
      <c r="K61" s="1" t="s">
        <v>41</v>
      </c>
      <c r="L61" s="1" t="s">
        <v>53</v>
      </c>
      <c r="M61" s="1" t="s">
        <v>8</v>
      </c>
      <c r="N61" s="1" t="s">
        <v>2</v>
      </c>
      <c r="O61" s="1">
        <v>1</v>
      </c>
      <c r="P61" s="1">
        <f>IF(Table13[[#This Row],[design]]="Cross-sectional",0,1)</f>
        <v>0</v>
      </c>
      <c r="Q61" s="1">
        <f>IF(Table13[[#This Row],[adj]]="Adjusted",1,0)</f>
        <v>0</v>
      </c>
      <c r="R61" s="1">
        <f>SUM(Table13[[#This Row],[representative]:[adjust]])</f>
        <v>1</v>
      </c>
    </row>
    <row r="62" spans="1:18" x14ac:dyDescent="0.25">
      <c r="A62" s="1" t="s">
        <v>471</v>
      </c>
      <c r="B62" s="1" t="s">
        <v>472</v>
      </c>
      <c r="C62" s="1" t="s">
        <v>473</v>
      </c>
      <c r="D62" s="1">
        <v>2022</v>
      </c>
      <c r="E62" s="1" t="s">
        <v>21</v>
      </c>
      <c r="F62" s="1" t="s">
        <v>20</v>
      </c>
      <c r="G62" s="1" t="s">
        <v>18</v>
      </c>
      <c r="H62" s="1" t="s">
        <v>11</v>
      </c>
      <c r="I62" s="1" t="s">
        <v>349</v>
      </c>
      <c r="J62" s="1" t="s">
        <v>349</v>
      </c>
      <c r="K62" s="1" t="s">
        <v>67</v>
      </c>
      <c r="L62" s="1" t="s">
        <v>53</v>
      </c>
      <c r="M62" s="1" t="s">
        <v>8</v>
      </c>
      <c r="N62" s="1" t="s">
        <v>2</v>
      </c>
      <c r="O62" s="1">
        <v>1</v>
      </c>
      <c r="P62" s="1">
        <f>IF(Table13[[#This Row],[design]]="Cross-sectional",0,1)</f>
        <v>0</v>
      </c>
      <c r="Q62" s="1">
        <f>IF(Table13[[#This Row],[adj]]="Adjusted",1,0)</f>
        <v>0</v>
      </c>
      <c r="R62" s="1">
        <f>SUM(Table13[[#This Row],[representative]:[adjust]])</f>
        <v>1</v>
      </c>
    </row>
    <row r="63" spans="1:18" x14ac:dyDescent="0.25">
      <c r="A63" s="1" t="s">
        <v>481</v>
      </c>
      <c r="B63" s="1" t="s">
        <v>482</v>
      </c>
      <c r="C63" s="1" t="s">
        <v>483</v>
      </c>
      <c r="D63" s="1">
        <v>2013</v>
      </c>
      <c r="E63" s="1" t="s">
        <v>21</v>
      </c>
      <c r="F63" s="1" t="s">
        <v>20</v>
      </c>
      <c r="G63" s="1" t="s">
        <v>18</v>
      </c>
      <c r="H63" s="1" t="s">
        <v>11</v>
      </c>
      <c r="I63" s="1" t="s">
        <v>487</v>
      </c>
      <c r="J63" s="1" t="s">
        <v>487</v>
      </c>
      <c r="K63" s="1" t="s">
        <v>112</v>
      </c>
      <c r="L63" s="1" t="s">
        <v>53</v>
      </c>
      <c r="M63" s="1" t="s">
        <v>63</v>
      </c>
      <c r="N63" s="1" t="s">
        <v>2</v>
      </c>
      <c r="O63" s="1">
        <v>1</v>
      </c>
      <c r="P63" s="1">
        <f>IF(Table13[[#This Row],[design]]="Cross-sectional",0,1)</f>
        <v>0</v>
      </c>
      <c r="Q63" s="1">
        <f>IF(Table13[[#This Row],[adj]]="Adjusted",1,0)</f>
        <v>0</v>
      </c>
      <c r="R63" s="1">
        <f>SUM(Table13[[#This Row],[representative]:[adjust]])</f>
        <v>1</v>
      </c>
    </row>
    <row r="64" spans="1:18" x14ac:dyDescent="0.25">
      <c r="A64" s="1" t="s">
        <v>492</v>
      </c>
      <c r="B64" s="1" t="s">
        <v>493</v>
      </c>
      <c r="C64" s="1" t="s">
        <v>483</v>
      </c>
      <c r="D64" s="1">
        <v>2016</v>
      </c>
      <c r="E64" s="1" t="s">
        <v>21</v>
      </c>
      <c r="F64" s="1" t="s">
        <v>20</v>
      </c>
      <c r="G64" s="1" t="s">
        <v>260</v>
      </c>
      <c r="H64" s="1" t="s">
        <v>513</v>
      </c>
      <c r="I64" s="1" t="s">
        <v>514</v>
      </c>
      <c r="J64" s="1" t="s">
        <v>514</v>
      </c>
      <c r="K64" s="1" t="s">
        <v>14</v>
      </c>
      <c r="L64" s="1" t="s">
        <v>53</v>
      </c>
      <c r="M64" s="1" t="s">
        <v>515</v>
      </c>
      <c r="N64" s="1" t="s">
        <v>2</v>
      </c>
      <c r="O64" s="1">
        <v>1</v>
      </c>
      <c r="P64" s="1">
        <f>IF(Table13[[#This Row],[design]]="Cross-sectional",0,1)</f>
        <v>0</v>
      </c>
      <c r="Q64" s="1">
        <f>IF(Table13[[#This Row],[adj]]="Adjusted",1,0)</f>
        <v>0</v>
      </c>
      <c r="R64" s="1">
        <f>SUM(Table13[[#This Row],[representative]:[adjust]])</f>
        <v>1</v>
      </c>
    </row>
    <row r="65" spans="1:18" x14ac:dyDescent="0.25">
      <c r="A65" s="1" t="s">
        <v>492</v>
      </c>
      <c r="B65" s="1" t="s">
        <v>493</v>
      </c>
      <c r="C65" s="1" t="s">
        <v>483</v>
      </c>
      <c r="D65" s="1">
        <v>2016</v>
      </c>
      <c r="E65" s="1" t="s">
        <v>21</v>
      </c>
      <c r="F65" s="1" t="s">
        <v>20</v>
      </c>
      <c r="G65" s="1" t="s">
        <v>260</v>
      </c>
      <c r="H65" s="1" t="s">
        <v>39</v>
      </c>
      <c r="I65" s="1" t="s">
        <v>508</v>
      </c>
      <c r="J65" s="1" t="s">
        <v>237</v>
      </c>
      <c r="K65" s="1" t="s">
        <v>14</v>
      </c>
      <c r="L65" s="1" t="s">
        <v>53</v>
      </c>
      <c r="M65" s="1" t="s">
        <v>63</v>
      </c>
      <c r="N65" s="1" t="s">
        <v>2</v>
      </c>
      <c r="O65" s="1">
        <v>1</v>
      </c>
      <c r="P65" s="1">
        <f>IF(Table13[[#This Row],[design]]="Cross-sectional",0,1)</f>
        <v>0</v>
      </c>
      <c r="Q65" s="1">
        <f>IF(Table13[[#This Row],[adj]]="Adjusted",1,0)</f>
        <v>0</v>
      </c>
      <c r="R65" s="1">
        <f>SUM(Table13[[#This Row],[representative]:[adjust]])</f>
        <v>1</v>
      </c>
    </row>
    <row r="66" spans="1:18" x14ac:dyDescent="0.25">
      <c r="A66" s="1" t="s">
        <v>492</v>
      </c>
      <c r="B66" s="1" t="s">
        <v>493</v>
      </c>
      <c r="C66" s="1" t="s">
        <v>483</v>
      </c>
      <c r="D66" s="1">
        <v>2016</v>
      </c>
      <c r="E66" s="1" t="s">
        <v>21</v>
      </c>
      <c r="F66" s="1" t="s">
        <v>20</v>
      </c>
      <c r="G66" s="1" t="s">
        <v>260</v>
      </c>
      <c r="H66" s="1" t="s">
        <v>39</v>
      </c>
      <c r="I66" s="1" t="s">
        <v>504</v>
      </c>
      <c r="J66" s="1" t="s">
        <v>499</v>
      </c>
      <c r="K66" s="1" t="s">
        <v>14</v>
      </c>
      <c r="L66" s="1" t="s">
        <v>53</v>
      </c>
      <c r="M66" s="1" t="s">
        <v>160</v>
      </c>
      <c r="N66" s="1" t="s">
        <v>2</v>
      </c>
      <c r="O66" s="1">
        <v>1</v>
      </c>
      <c r="P66" s="1">
        <f>IF(Table13[[#This Row],[design]]="Cross-sectional",0,1)</f>
        <v>0</v>
      </c>
      <c r="Q66" s="1">
        <f>IF(Table13[[#This Row],[adj]]="Adjusted",1,0)</f>
        <v>0</v>
      </c>
      <c r="R66" s="1">
        <f>SUM(Table13[[#This Row],[representative]:[adjust]])</f>
        <v>1</v>
      </c>
    </row>
    <row r="67" spans="1:18" x14ac:dyDescent="0.25">
      <c r="A67" s="1" t="s">
        <v>492</v>
      </c>
      <c r="B67" s="1" t="s">
        <v>493</v>
      </c>
      <c r="C67" s="1" t="s">
        <v>483</v>
      </c>
      <c r="D67" s="1">
        <v>2016</v>
      </c>
      <c r="E67" s="1" t="s">
        <v>21</v>
      </c>
      <c r="F67" s="1" t="s">
        <v>20</v>
      </c>
      <c r="G67" s="1" t="s">
        <v>260</v>
      </c>
      <c r="H67" s="1" t="s">
        <v>39</v>
      </c>
      <c r="I67" s="1" t="s">
        <v>498</v>
      </c>
      <c r="J67" s="1" t="s">
        <v>499</v>
      </c>
      <c r="K67" s="1" t="s">
        <v>14</v>
      </c>
      <c r="L67" s="1" t="s">
        <v>53</v>
      </c>
      <c r="M67" s="1" t="s">
        <v>74</v>
      </c>
      <c r="N67" s="1" t="s">
        <v>2</v>
      </c>
      <c r="O67" s="1">
        <v>1</v>
      </c>
      <c r="P67" s="1">
        <f>IF(Table13[[#This Row],[design]]="Cross-sectional",0,1)</f>
        <v>0</v>
      </c>
      <c r="Q67" s="1">
        <f>IF(Table13[[#This Row],[adj]]="Adjusted",1,0)</f>
        <v>0</v>
      </c>
      <c r="R67" s="1">
        <f>SUM(Table13[[#This Row],[representative]:[adjust]])</f>
        <v>1</v>
      </c>
    </row>
    <row r="68" spans="1:18" x14ac:dyDescent="0.25">
      <c r="A68" s="1" t="s">
        <v>518</v>
      </c>
      <c r="B68" s="1" t="s">
        <v>519</v>
      </c>
      <c r="C68" s="1" t="s">
        <v>483</v>
      </c>
      <c r="D68" s="1">
        <v>2016</v>
      </c>
      <c r="E68" s="1" t="s">
        <v>452</v>
      </c>
      <c r="F68" s="1" t="s">
        <v>20</v>
      </c>
      <c r="G68" s="1" t="s">
        <v>260</v>
      </c>
      <c r="H68" s="1" t="s">
        <v>39</v>
      </c>
      <c r="I68" s="1" t="s">
        <v>520</v>
      </c>
      <c r="J68" s="1" t="s">
        <v>457</v>
      </c>
      <c r="K68" s="1" t="s">
        <v>14</v>
      </c>
      <c r="L68" s="1" t="s">
        <v>53</v>
      </c>
      <c r="M68" s="1" t="s">
        <v>63</v>
      </c>
      <c r="N68" s="1" t="s">
        <v>2</v>
      </c>
      <c r="O68" s="1">
        <v>1</v>
      </c>
      <c r="P68" s="1">
        <f>IF(Table13[[#This Row],[design]]="Cross-sectional",0,1)</f>
        <v>1</v>
      </c>
      <c r="Q68" s="1">
        <f>IF(Table13[[#This Row],[adj]]="Adjusted",1,0)</f>
        <v>0</v>
      </c>
      <c r="R68" s="1">
        <f>SUM(Table13[[#This Row],[representative]:[adjust]])</f>
        <v>2</v>
      </c>
    </row>
    <row r="69" spans="1:18" x14ac:dyDescent="0.25">
      <c r="A69" s="1" t="s">
        <v>526</v>
      </c>
      <c r="B69" s="1" t="s">
        <v>527</v>
      </c>
      <c r="C69" s="1" t="s">
        <v>483</v>
      </c>
      <c r="D69" s="1">
        <v>2019</v>
      </c>
      <c r="E69" s="1" t="s">
        <v>21</v>
      </c>
      <c r="F69" s="1" t="s">
        <v>20</v>
      </c>
      <c r="G69" s="1" t="s">
        <v>260</v>
      </c>
      <c r="H69" s="1" t="s">
        <v>39</v>
      </c>
      <c r="I69" s="1" t="s">
        <v>529</v>
      </c>
      <c r="J69" s="1" t="s">
        <v>530</v>
      </c>
      <c r="K69" s="1" t="s">
        <v>14</v>
      </c>
      <c r="L69" s="1" t="s">
        <v>53</v>
      </c>
      <c r="M69" s="1" t="s">
        <v>63</v>
      </c>
      <c r="N69" s="1" t="s">
        <v>2</v>
      </c>
      <c r="O69" s="1">
        <v>1</v>
      </c>
      <c r="P69" s="1">
        <f>IF(Table13[[#This Row],[design]]="Cross-sectional",0,1)</f>
        <v>0</v>
      </c>
      <c r="Q69" s="1">
        <f>IF(Table13[[#This Row],[adj]]="Adjusted",1,0)</f>
        <v>0</v>
      </c>
      <c r="R69" s="1">
        <f>SUM(Table13[[#This Row],[representative]:[adjust]])</f>
        <v>1</v>
      </c>
    </row>
    <row r="70" spans="1:18" x14ac:dyDescent="0.25">
      <c r="A70" s="1" t="s">
        <v>526</v>
      </c>
      <c r="B70" s="1" t="s">
        <v>527</v>
      </c>
      <c r="C70" s="1" t="s">
        <v>483</v>
      </c>
      <c r="D70" s="1">
        <v>2019</v>
      </c>
      <c r="E70" s="1" t="s">
        <v>21</v>
      </c>
      <c r="F70" s="1" t="s">
        <v>20</v>
      </c>
      <c r="G70" s="1" t="s">
        <v>260</v>
      </c>
      <c r="H70" s="1" t="s">
        <v>80</v>
      </c>
      <c r="I70" s="1" t="s">
        <v>534</v>
      </c>
      <c r="J70" s="1" t="s">
        <v>534</v>
      </c>
      <c r="K70" s="1" t="s">
        <v>14</v>
      </c>
      <c r="L70" s="1" t="s">
        <v>53</v>
      </c>
      <c r="M70" s="1" t="s">
        <v>160</v>
      </c>
      <c r="N70" s="1" t="s">
        <v>2</v>
      </c>
      <c r="O70" s="1">
        <v>1</v>
      </c>
      <c r="P70" s="1">
        <f>IF(Table13[[#This Row],[design]]="Cross-sectional",0,1)</f>
        <v>0</v>
      </c>
      <c r="Q70" s="1">
        <f>IF(Table13[[#This Row],[adj]]="Adjusted",1,0)</f>
        <v>0</v>
      </c>
      <c r="R70" s="1">
        <f>SUM(Table13[[#This Row],[representative]:[adjust]])</f>
        <v>1</v>
      </c>
    </row>
    <row r="71" spans="1:18" x14ac:dyDescent="0.25">
      <c r="A71" s="1" t="s">
        <v>537</v>
      </c>
      <c r="B71" s="1" t="s">
        <v>538</v>
      </c>
      <c r="C71" s="1" t="s">
        <v>539</v>
      </c>
      <c r="D71" s="1">
        <v>2023</v>
      </c>
      <c r="E71" s="1" t="s">
        <v>21</v>
      </c>
      <c r="F71" s="1" t="s">
        <v>20</v>
      </c>
      <c r="G71" s="1" t="s">
        <v>260</v>
      </c>
      <c r="H71" s="1" t="s">
        <v>11</v>
      </c>
      <c r="I71" s="1" t="s">
        <v>541</v>
      </c>
      <c r="J71" s="1" t="s">
        <v>541</v>
      </c>
      <c r="K71" s="1" t="s">
        <v>9</v>
      </c>
      <c r="L71" s="1" t="s">
        <v>9</v>
      </c>
      <c r="M71" s="1" t="s">
        <v>8</v>
      </c>
      <c r="N71" s="1" t="s">
        <v>35</v>
      </c>
      <c r="O71" s="1">
        <v>1</v>
      </c>
      <c r="P71" s="1">
        <f>IF(Table13[[#This Row],[design]]="Cross-sectional",0,1)</f>
        <v>0</v>
      </c>
      <c r="Q71" s="1">
        <f>IF(Table13[[#This Row],[adj]]="Adjusted",1,0)</f>
        <v>1</v>
      </c>
      <c r="R71" s="1">
        <f>SUM(Table13[[#This Row],[representative]:[adjust]])</f>
        <v>2</v>
      </c>
    </row>
    <row r="72" spans="1:18" x14ac:dyDescent="0.25">
      <c r="A72" s="1" t="s">
        <v>547</v>
      </c>
      <c r="B72" s="1" t="s">
        <v>548</v>
      </c>
      <c r="C72" s="1" t="s">
        <v>549</v>
      </c>
      <c r="D72" s="1">
        <v>2018</v>
      </c>
      <c r="E72" s="1" t="s">
        <v>21</v>
      </c>
      <c r="F72" s="1" t="s">
        <v>20</v>
      </c>
      <c r="G72" s="1" t="s">
        <v>260</v>
      </c>
      <c r="H72" s="1" t="s">
        <v>39</v>
      </c>
      <c r="I72" s="1" t="s">
        <v>554</v>
      </c>
      <c r="J72" s="1" t="s">
        <v>555</v>
      </c>
      <c r="K72" s="1" t="s">
        <v>14</v>
      </c>
      <c r="L72" s="1" t="s">
        <v>53</v>
      </c>
      <c r="M72" s="1" t="s">
        <v>8</v>
      </c>
      <c r="N72" s="1" t="s">
        <v>35</v>
      </c>
      <c r="O72" s="1">
        <v>1</v>
      </c>
      <c r="P72" s="1">
        <f>IF(Table13[[#This Row],[design]]="Cross-sectional",0,1)</f>
        <v>0</v>
      </c>
      <c r="Q72" s="1">
        <f>IF(Table13[[#This Row],[adj]]="Adjusted",1,0)</f>
        <v>1</v>
      </c>
      <c r="R72" s="1">
        <f>SUM(Table13[[#This Row],[representative]:[adjust]])</f>
        <v>2</v>
      </c>
    </row>
    <row r="73" spans="1:18" x14ac:dyDescent="0.25">
      <c r="A73" s="1" t="s">
        <v>558</v>
      </c>
      <c r="B73" s="1" t="s">
        <v>559</v>
      </c>
      <c r="C73" s="1" t="s">
        <v>560</v>
      </c>
      <c r="D73" s="1">
        <v>2019</v>
      </c>
      <c r="E73" s="1" t="s">
        <v>21</v>
      </c>
      <c r="F73" s="1" t="s">
        <v>20</v>
      </c>
      <c r="G73" s="1" t="s">
        <v>18</v>
      </c>
      <c r="H73" s="1" t="s">
        <v>80</v>
      </c>
      <c r="I73" s="1" t="s">
        <v>567</v>
      </c>
      <c r="J73" s="1" t="s">
        <v>80</v>
      </c>
      <c r="K73" s="1" t="s">
        <v>9</v>
      </c>
      <c r="L73" s="1" t="s">
        <v>9</v>
      </c>
      <c r="M73" s="1" t="s">
        <v>160</v>
      </c>
      <c r="N73" s="1" t="s">
        <v>35</v>
      </c>
      <c r="O73" s="1">
        <v>1</v>
      </c>
      <c r="P73" s="1">
        <f>IF(Table13[[#This Row],[design]]="Cross-sectional",0,1)</f>
        <v>0</v>
      </c>
      <c r="Q73" s="1">
        <f>IF(Table13[[#This Row],[adj]]="Adjusted",1,0)</f>
        <v>1</v>
      </c>
      <c r="R73" s="1">
        <f>SUM(Table13[[#This Row],[representative]:[adjust]])</f>
        <v>2</v>
      </c>
    </row>
    <row r="74" spans="1:18" x14ac:dyDescent="0.25">
      <c r="A74" s="1" t="s">
        <v>558</v>
      </c>
      <c r="B74" s="1" t="s">
        <v>559</v>
      </c>
      <c r="C74" s="1" t="s">
        <v>560</v>
      </c>
      <c r="D74" s="1">
        <v>2019</v>
      </c>
      <c r="E74" s="1" t="s">
        <v>21</v>
      </c>
      <c r="F74" s="1" t="s">
        <v>20</v>
      </c>
      <c r="G74" s="1" t="s">
        <v>18</v>
      </c>
      <c r="H74" s="1" t="s">
        <v>11</v>
      </c>
      <c r="I74" s="1" t="s">
        <v>997</v>
      </c>
      <c r="J74" s="1" t="s">
        <v>997</v>
      </c>
      <c r="K74" s="1" t="s">
        <v>41</v>
      </c>
      <c r="L74" s="1" t="s">
        <v>53</v>
      </c>
      <c r="M74" s="1" t="s">
        <v>8</v>
      </c>
      <c r="N74" s="1" t="s">
        <v>2</v>
      </c>
      <c r="O74" s="1">
        <v>1</v>
      </c>
      <c r="P74" s="1">
        <f>IF(Table13[[#This Row],[design]]="Cross-sectional",0,1)</f>
        <v>0</v>
      </c>
      <c r="Q74" s="1">
        <f>IF(Table13[[#This Row],[adj]]="Adjusted",1,0)</f>
        <v>0</v>
      </c>
      <c r="R74" s="1">
        <f>SUM(Table13[[#This Row],[representative]:[adjust]])</f>
        <v>1</v>
      </c>
    </row>
    <row r="75" spans="1:18" x14ac:dyDescent="0.25">
      <c r="A75" s="1" t="s">
        <v>571</v>
      </c>
      <c r="B75" s="1" t="s">
        <v>572</v>
      </c>
      <c r="C75" s="1" t="s">
        <v>573</v>
      </c>
      <c r="D75" s="1">
        <v>2017</v>
      </c>
      <c r="E75" s="1" t="s">
        <v>21</v>
      </c>
      <c r="F75" s="1" t="s">
        <v>20</v>
      </c>
      <c r="G75" s="1" t="s">
        <v>18</v>
      </c>
      <c r="H75" s="1" t="s">
        <v>11</v>
      </c>
      <c r="I75" s="1" t="s">
        <v>578</v>
      </c>
      <c r="J75" s="1" t="s">
        <v>578</v>
      </c>
      <c r="K75" s="1" t="s">
        <v>112</v>
      </c>
      <c r="L75" s="1" t="s">
        <v>53</v>
      </c>
      <c r="M75" s="1" t="s">
        <v>8</v>
      </c>
      <c r="N75" s="1" t="s">
        <v>2</v>
      </c>
      <c r="O75" s="1">
        <v>1</v>
      </c>
      <c r="P75" s="1">
        <f>IF(Table13[[#This Row],[design]]="Cross-sectional",0,1)</f>
        <v>0</v>
      </c>
      <c r="Q75" s="1">
        <f>IF(Table13[[#This Row],[adj]]="Adjusted",1,0)</f>
        <v>0</v>
      </c>
      <c r="R75" s="1">
        <f>SUM(Table13[[#This Row],[representative]:[adjust]])</f>
        <v>1</v>
      </c>
    </row>
    <row r="76" spans="1:18" x14ac:dyDescent="0.25">
      <c r="A76" s="1" t="s">
        <v>571</v>
      </c>
      <c r="B76" s="1" t="s">
        <v>572</v>
      </c>
      <c r="C76" s="1" t="s">
        <v>573</v>
      </c>
      <c r="D76" s="1">
        <v>2017</v>
      </c>
      <c r="E76" s="1" t="s">
        <v>21</v>
      </c>
      <c r="F76" s="1" t="s">
        <v>20</v>
      </c>
      <c r="G76" s="1" t="s">
        <v>18</v>
      </c>
      <c r="H76" s="1" t="s">
        <v>11</v>
      </c>
      <c r="I76" s="1" t="s">
        <v>577</v>
      </c>
      <c r="J76" s="1" t="s">
        <v>578</v>
      </c>
      <c r="K76" s="1" t="s">
        <v>112</v>
      </c>
      <c r="L76" s="1" t="s">
        <v>53</v>
      </c>
      <c r="M76" s="1" t="s">
        <v>63</v>
      </c>
      <c r="N76" s="1" t="s">
        <v>2</v>
      </c>
      <c r="O76" s="1">
        <v>1</v>
      </c>
      <c r="P76" s="1">
        <f>IF(Table13[[#This Row],[design]]="Cross-sectional",0,1)</f>
        <v>0</v>
      </c>
      <c r="Q76" s="1">
        <f>IF(Table13[[#This Row],[adj]]="Adjusted",1,0)</f>
        <v>0</v>
      </c>
      <c r="R76" s="1">
        <f>SUM(Table13[[#This Row],[representative]:[adjust]])</f>
        <v>1</v>
      </c>
    </row>
    <row r="77" spans="1:18" x14ac:dyDescent="0.25">
      <c r="A77" s="1" t="s">
        <v>571</v>
      </c>
      <c r="B77" s="1" t="s">
        <v>572</v>
      </c>
      <c r="C77" s="1" t="s">
        <v>573</v>
      </c>
      <c r="D77" s="1">
        <v>2017</v>
      </c>
      <c r="E77" s="1" t="s">
        <v>21</v>
      </c>
      <c r="F77" s="1" t="s">
        <v>20</v>
      </c>
      <c r="G77" s="1" t="s">
        <v>18</v>
      </c>
      <c r="H77" s="1" t="s">
        <v>39</v>
      </c>
      <c r="I77" s="1" t="s">
        <v>585</v>
      </c>
      <c r="J77" s="1" t="s">
        <v>585</v>
      </c>
      <c r="K77" s="1" t="s">
        <v>9</v>
      </c>
      <c r="L77" s="1" t="s">
        <v>9</v>
      </c>
      <c r="M77" s="1" t="s">
        <v>8</v>
      </c>
      <c r="N77" s="1" t="s">
        <v>2</v>
      </c>
      <c r="O77" s="1">
        <v>1</v>
      </c>
      <c r="P77" s="1">
        <f>IF(Table13[[#This Row],[design]]="Cross-sectional",0,1)</f>
        <v>0</v>
      </c>
      <c r="Q77" s="1">
        <f>IF(Table13[[#This Row],[adj]]="Adjusted",1,0)</f>
        <v>0</v>
      </c>
      <c r="R77" s="1">
        <f>SUM(Table13[[#This Row],[representative]:[adjust]])</f>
        <v>1</v>
      </c>
    </row>
    <row r="78" spans="1:18" x14ac:dyDescent="0.25">
      <c r="A78" s="1" t="s">
        <v>588</v>
      </c>
      <c r="B78" s="1" t="s">
        <v>589</v>
      </c>
      <c r="C78" s="1" t="s">
        <v>590</v>
      </c>
      <c r="D78" s="1">
        <v>2017</v>
      </c>
      <c r="E78" s="1" t="s">
        <v>21</v>
      </c>
      <c r="F78" s="1" t="s">
        <v>20</v>
      </c>
      <c r="G78" s="1" t="s">
        <v>260</v>
      </c>
      <c r="H78" s="1" t="s">
        <v>39</v>
      </c>
      <c r="I78" s="1" t="s">
        <v>594</v>
      </c>
      <c r="J78" s="1" t="s">
        <v>595</v>
      </c>
      <c r="K78" s="1" t="s">
        <v>9</v>
      </c>
      <c r="L78" s="1" t="s">
        <v>9</v>
      </c>
      <c r="M78" s="1" t="s">
        <v>8</v>
      </c>
      <c r="N78" s="1" t="s">
        <v>35</v>
      </c>
      <c r="O78" s="1">
        <v>1</v>
      </c>
      <c r="P78" s="1">
        <f>IF(Table13[[#This Row],[design]]="Cross-sectional",0,1)</f>
        <v>0</v>
      </c>
      <c r="Q78" s="1">
        <f>IF(Table13[[#This Row],[adj]]="Adjusted",1,0)</f>
        <v>1</v>
      </c>
      <c r="R78" s="1">
        <f>SUM(Table13[[#This Row],[representative]:[adjust]])</f>
        <v>2</v>
      </c>
    </row>
    <row r="79" spans="1:18" x14ac:dyDescent="0.25">
      <c r="A79" s="1" t="s">
        <v>597</v>
      </c>
      <c r="B79" s="1" t="s">
        <v>598</v>
      </c>
      <c r="C79" s="1" t="s">
        <v>599</v>
      </c>
      <c r="D79" s="1">
        <v>2023</v>
      </c>
      <c r="E79" s="1" t="s">
        <v>21</v>
      </c>
      <c r="F79" s="1" t="s">
        <v>20</v>
      </c>
      <c r="G79" s="1" t="s">
        <v>18</v>
      </c>
      <c r="H79" s="1" t="s">
        <v>11</v>
      </c>
      <c r="I79" s="1" t="s">
        <v>603</v>
      </c>
      <c r="J79" s="1" t="s">
        <v>604</v>
      </c>
      <c r="K79" s="1" t="s">
        <v>9</v>
      </c>
      <c r="L79" s="1" t="s">
        <v>9</v>
      </c>
      <c r="M79" s="1" t="s">
        <v>8</v>
      </c>
      <c r="N79" s="1" t="s">
        <v>2</v>
      </c>
      <c r="O79" s="1">
        <v>1</v>
      </c>
      <c r="P79" s="1">
        <f>IF(Table13[[#This Row],[design]]="Cross-sectional",0,1)</f>
        <v>0</v>
      </c>
      <c r="Q79" s="1">
        <f>IF(Table13[[#This Row],[adj]]="Adjusted",1,0)</f>
        <v>0</v>
      </c>
      <c r="R79" s="1">
        <f>SUM(Table13[[#This Row],[representative]:[adjust]])</f>
        <v>1</v>
      </c>
    </row>
    <row r="80" spans="1:18" x14ac:dyDescent="0.25">
      <c r="A80" s="1" t="s">
        <v>609</v>
      </c>
      <c r="B80" s="1" t="s">
        <v>610</v>
      </c>
      <c r="C80" s="1" t="s">
        <v>611</v>
      </c>
      <c r="D80" s="1">
        <v>2023</v>
      </c>
      <c r="E80" s="1" t="s">
        <v>21</v>
      </c>
      <c r="F80" s="1" t="s">
        <v>20</v>
      </c>
      <c r="G80" s="1" t="s">
        <v>260</v>
      </c>
      <c r="H80" s="1" t="s">
        <v>513</v>
      </c>
      <c r="I80" s="1" t="s">
        <v>614</v>
      </c>
      <c r="J80" s="1" t="s">
        <v>614</v>
      </c>
      <c r="K80" s="1" t="s">
        <v>9</v>
      </c>
      <c r="L80" s="1" t="s">
        <v>9</v>
      </c>
      <c r="M80" s="1" t="s">
        <v>8</v>
      </c>
      <c r="N80" s="1" t="s">
        <v>35</v>
      </c>
      <c r="O80" s="1">
        <v>1</v>
      </c>
      <c r="P80" s="1">
        <f>IF(Table13[[#This Row],[design]]="Cross-sectional",0,1)</f>
        <v>0</v>
      </c>
      <c r="Q80" s="1">
        <f>IF(Table13[[#This Row],[adj]]="Adjusted",1,0)</f>
        <v>1</v>
      </c>
      <c r="R80" s="1">
        <f>SUM(Table13[[#This Row],[representative]:[adjust]])</f>
        <v>2</v>
      </c>
    </row>
    <row r="81" spans="1:18" x14ac:dyDescent="0.25">
      <c r="A81" s="1" t="s">
        <v>609</v>
      </c>
      <c r="B81" s="1" t="s">
        <v>610</v>
      </c>
      <c r="C81" s="1" t="s">
        <v>611</v>
      </c>
      <c r="D81" s="1">
        <v>2023</v>
      </c>
      <c r="E81" s="1" t="s">
        <v>21</v>
      </c>
      <c r="F81" s="1" t="s">
        <v>20</v>
      </c>
      <c r="G81" s="1" t="s">
        <v>260</v>
      </c>
      <c r="H81" s="1" t="s">
        <v>513</v>
      </c>
      <c r="I81" s="1" t="s">
        <v>614</v>
      </c>
      <c r="J81" s="1" t="s">
        <v>614</v>
      </c>
      <c r="K81" s="1" t="s">
        <v>9</v>
      </c>
      <c r="L81" s="1" t="s">
        <v>9</v>
      </c>
      <c r="M81" s="1" t="s">
        <v>8</v>
      </c>
      <c r="N81" s="1" t="s">
        <v>35</v>
      </c>
      <c r="O81" s="1">
        <v>1</v>
      </c>
      <c r="P81" s="1">
        <f>IF(Table13[[#This Row],[design]]="Cross-sectional",0,1)</f>
        <v>0</v>
      </c>
      <c r="Q81" s="1">
        <f>IF(Table13[[#This Row],[adj]]="Adjusted",1,0)</f>
        <v>1</v>
      </c>
      <c r="R81" s="1">
        <f>SUM(Table13[[#This Row],[representative]:[adjust]])</f>
        <v>2</v>
      </c>
    </row>
    <row r="82" spans="1:18" x14ac:dyDescent="0.25">
      <c r="A82" s="1" t="s">
        <v>609</v>
      </c>
      <c r="B82" s="1" t="s">
        <v>610</v>
      </c>
      <c r="C82" s="1" t="s">
        <v>611</v>
      </c>
      <c r="D82" s="1">
        <v>2023</v>
      </c>
      <c r="E82" s="1" t="s">
        <v>21</v>
      </c>
      <c r="F82" s="1" t="s">
        <v>20</v>
      </c>
      <c r="G82" s="1" t="s">
        <v>260</v>
      </c>
      <c r="H82" s="1" t="s">
        <v>513</v>
      </c>
      <c r="I82" s="1" t="s">
        <v>618</v>
      </c>
      <c r="J82" s="1" t="s">
        <v>618</v>
      </c>
      <c r="K82" s="1" t="s">
        <v>9</v>
      </c>
      <c r="L82" s="1" t="s">
        <v>9</v>
      </c>
      <c r="M82" s="1" t="s">
        <v>8</v>
      </c>
      <c r="N82" s="1" t="s">
        <v>35</v>
      </c>
      <c r="O82" s="1">
        <v>1</v>
      </c>
      <c r="P82" s="1">
        <f>IF(Table13[[#This Row],[design]]="Cross-sectional",0,1)</f>
        <v>0</v>
      </c>
      <c r="Q82" s="1">
        <f>IF(Table13[[#This Row],[adj]]="Adjusted",1,0)</f>
        <v>1</v>
      </c>
      <c r="R82" s="1">
        <f>SUM(Table13[[#This Row],[representative]:[adjust]])</f>
        <v>2</v>
      </c>
    </row>
    <row r="83" spans="1:18" x14ac:dyDescent="0.25">
      <c r="A83" s="1" t="s">
        <v>609</v>
      </c>
      <c r="B83" s="1" t="s">
        <v>610</v>
      </c>
      <c r="C83" s="1" t="s">
        <v>611</v>
      </c>
      <c r="D83" s="1">
        <v>2023</v>
      </c>
      <c r="E83" s="1" t="s">
        <v>21</v>
      </c>
      <c r="F83" s="1" t="s">
        <v>20</v>
      </c>
      <c r="G83" s="1" t="s">
        <v>260</v>
      </c>
      <c r="H83" s="1" t="s">
        <v>513</v>
      </c>
      <c r="I83" s="1" t="s">
        <v>618</v>
      </c>
      <c r="J83" s="1" t="s">
        <v>618</v>
      </c>
      <c r="K83" s="1" t="s">
        <v>9</v>
      </c>
      <c r="L83" s="1" t="s">
        <v>9</v>
      </c>
      <c r="M83" s="1" t="s">
        <v>8</v>
      </c>
      <c r="N83" s="1" t="s">
        <v>35</v>
      </c>
      <c r="O83" s="1">
        <v>1</v>
      </c>
      <c r="P83" s="1">
        <f>IF(Table13[[#This Row],[design]]="Cross-sectional",0,1)</f>
        <v>0</v>
      </c>
      <c r="Q83" s="1">
        <f>IF(Table13[[#This Row],[adj]]="Adjusted",1,0)</f>
        <v>1</v>
      </c>
      <c r="R83" s="1">
        <f>SUM(Table13[[#This Row],[representative]:[adjust]])</f>
        <v>2</v>
      </c>
    </row>
    <row r="84" spans="1:18" x14ac:dyDescent="0.25">
      <c r="A84" s="1" t="s">
        <v>619</v>
      </c>
      <c r="B84" s="1" t="s">
        <v>620</v>
      </c>
      <c r="C84" s="1" t="s">
        <v>621</v>
      </c>
      <c r="D84" s="1">
        <v>2023</v>
      </c>
      <c r="E84" s="1" t="s">
        <v>622</v>
      </c>
      <c r="F84" s="1" t="s">
        <v>386</v>
      </c>
      <c r="G84" s="1" t="s">
        <v>148</v>
      </c>
      <c r="H84" s="1" t="s">
        <v>39</v>
      </c>
      <c r="I84" s="1" t="s">
        <v>623</v>
      </c>
      <c r="J84" s="1" t="s">
        <v>0</v>
      </c>
      <c r="K84" s="1" t="s">
        <v>9</v>
      </c>
      <c r="L84" s="1" t="s">
        <v>9</v>
      </c>
      <c r="M84" s="1" t="s">
        <v>624</v>
      </c>
      <c r="N84" s="1" t="s">
        <v>35</v>
      </c>
      <c r="O84" s="1">
        <v>0</v>
      </c>
      <c r="P84" s="1">
        <f>IF(Table13[[#This Row],[design]]="Cross-sectional",0,1)</f>
        <v>1</v>
      </c>
      <c r="Q84" s="1">
        <f>IF(Table13[[#This Row],[adj]]="Adjusted",1,0)</f>
        <v>1</v>
      </c>
      <c r="R84" s="1">
        <f>SUM(Table13[[#This Row],[representative]:[adjust]])</f>
        <v>2</v>
      </c>
    </row>
    <row r="85" spans="1:18" x14ac:dyDescent="0.25">
      <c r="A85" s="1" t="s">
        <v>632</v>
      </c>
      <c r="B85" s="1" t="s">
        <v>633</v>
      </c>
      <c r="C85" s="1" t="s">
        <v>634</v>
      </c>
      <c r="D85" s="1">
        <v>2020</v>
      </c>
      <c r="E85" s="1" t="s">
        <v>21</v>
      </c>
      <c r="F85" s="1" t="s">
        <v>386</v>
      </c>
      <c r="G85" s="1" t="s">
        <v>148</v>
      </c>
      <c r="H85" s="1" t="s">
        <v>11</v>
      </c>
      <c r="I85" s="1" t="s">
        <v>639</v>
      </c>
      <c r="J85" s="1" t="s">
        <v>639</v>
      </c>
      <c r="K85" s="1" t="s">
        <v>67</v>
      </c>
      <c r="L85" s="1" t="s">
        <v>53</v>
      </c>
      <c r="M85" s="1" t="s">
        <v>8</v>
      </c>
      <c r="N85" s="1" t="s">
        <v>35</v>
      </c>
      <c r="O85" s="1">
        <v>0</v>
      </c>
      <c r="P85" s="1">
        <f>IF(Table13[[#This Row],[design]]="Cross-sectional",0,1)</f>
        <v>0</v>
      </c>
      <c r="Q85" s="1">
        <f>IF(Table13[[#This Row],[adj]]="Adjusted",1,0)</f>
        <v>1</v>
      </c>
      <c r="R85" s="1">
        <f>SUM(Table13[[#This Row],[representative]:[adjust]])</f>
        <v>1</v>
      </c>
    </row>
    <row r="86" spans="1:18" x14ac:dyDescent="0.25">
      <c r="A86" s="1" t="s">
        <v>644</v>
      </c>
      <c r="B86" s="1" t="s">
        <v>645</v>
      </c>
      <c r="C86" s="1" t="s">
        <v>646</v>
      </c>
      <c r="D86" s="1">
        <v>2022</v>
      </c>
      <c r="E86" s="1" t="s">
        <v>21</v>
      </c>
      <c r="F86" s="1" t="s">
        <v>386</v>
      </c>
      <c r="G86" s="1" t="s">
        <v>148</v>
      </c>
      <c r="H86" s="1" t="s">
        <v>11</v>
      </c>
      <c r="I86" s="1" t="s">
        <v>650</v>
      </c>
      <c r="J86" s="1" t="s">
        <v>11</v>
      </c>
      <c r="K86" s="1" t="s">
        <v>41</v>
      </c>
      <c r="L86" s="1" t="s">
        <v>53</v>
      </c>
      <c r="M86" s="1" t="s">
        <v>63</v>
      </c>
      <c r="N86" s="1" t="s">
        <v>2</v>
      </c>
      <c r="O86" s="1">
        <v>0</v>
      </c>
      <c r="P86" s="1">
        <f>IF(Table13[[#This Row],[design]]="Cross-sectional",0,1)</f>
        <v>0</v>
      </c>
      <c r="Q86" s="1">
        <f>IF(Table13[[#This Row],[adj]]="Adjusted",1,0)</f>
        <v>0</v>
      </c>
      <c r="R86" s="1">
        <f>SUM(Table13[[#This Row],[representative]:[adjust]])</f>
        <v>0</v>
      </c>
    </row>
    <row r="87" spans="1:18" x14ac:dyDescent="0.25">
      <c r="A87" s="1" t="s">
        <v>655</v>
      </c>
      <c r="B87" s="1" t="s">
        <v>656</v>
      </c>
      <c r="C87" s="1" t="s">
        <v>657</v>
      </c>
      <c r="D87" s="1">
        <v>2020</v>
      </c>
      <c r="E87" s="1" t="s">
        <v>21</v>
      </c>
      <c r="F87" s="1" t="s">
        <v>20</v>
      </c>
      <c r="G87" s="1" t="s">
        <v>18</v>
      </c>
      <c r="H87" s="1" t="s">
        <v>80</v>
      </c>
      <c r="I87" s="1" t="s">
        <v>80</v>
      </c>
      <c r="J87" s="1" t="s">
        <v>80</v>
      </c>
      <c r="K87" s="1" t="s">
        <v>41</v>
      </c>
      <c r="L87" s="1" t="s">
        <v>53</v>
      </c>
      <c r="M87" s="1" t="s">
        <v>8</v>
      </c>
      <c r="N87" s="1" t="s">
        <v>35</v>
      </c>
      <c r="O87" s="1">
        <v>1</v>
      </c>
      <c r="P87" s="1">
        <f>IF(Table13[[#This Row],[design]]="Cross-sectional",0,1)</f>
        <v>0</v>
      </c>
      <c r="Q87" s="1">
        <f>IF(Table13[[#This Row],[adj]]="Adjusted",1,0)</f>
        <v>1</v>
      </c>
      <c r="R87" s="1">
        <f>SUM(Table13[[#This Row],[representative]:[adjust]])</f>
        <v>2</v>
      </c>
    </row>
    <row r="88" spans="1:18" x14ac:dyDescent="0.25">
      <c r="A88" s="1" t="s">
        <v>655</v>
      </c>
      <c r="B88" s="1" t="s">
        <v>656</v>
      </c>
      <c r="C88" s="1" t="s">
        <v>657</v>
      </c>
      <c r="D88" s="1">
        <v>2020</v>
      </c>
      <c r="E88" s="1" t="s">
        <v>21</v>
      </c>
      <c r="F88" s="1" t="s">
        <v>20</v>
      </c>
      <c r="G88" s="1" t="s">
        <v>18</v>
      </c>
      <c r="H88" s="1" t="s">
        <v>11</v>
      </c>
      <c r="I88" s="1" t="s">
        <v>11</v>
      </c>
      <c r="J88" s="1" t="s">
        <v>11</v>
      </c>
      <c r="K88" s="1" t="s">
        <v>41</v>
      </c>
      <c r="L88" s="1" t="s">
        <v>53</v>
      </c>
      <c r="M88" s="1" t="s">
        <v>8</v>
      </c>
      <c r="N88" s="1" t="s">
        <v>2</v>
      </c>
      <c r="O88" s="1">
        <v>1</v>
      </c>
      <c r="P88" s="1">
        <f>IF(Table13[[#This Row],[design]]="Cross-sectional",0,1)</f>
        <v>0</v>
      </c>
      <c r="Q88" s="1">
        <f>IF(Table13[[#This Row],[adj]]="Adjusted",1,0)</f>
        <v>0</v>
      </c>
      <c r="R88" s="1">
        <f>SUM(Table13[[#This Row],[representative]:[adjust]])</f>
        <v>1</v>
      </c>
    </row>
    <row r="89" spans="1:18" x14ac:dyDescent="0.25">
      <c r="A89" s="1" t="s">
        <v>664</v>
      </c>
      <c r="B89" s="1" t="s">
        <v>665</v>
      </c>
      <c r="C89" s="1" t="s">
        <v>666</v>
      </c>
      <c r="D89" s="1">
        <v>2017</v>
      </c>
      <c r="E89" s="1" t="s">
        <v>21</v>
      </c>
      <c r="F89" s="1" t="s">
        <v>20</v>
      </c>
      <c r="G89" s="1" t="s">
        <v>260</v>
      </c>
      <c r="H89" s="1" t="s">
        <v>39</v>
      </c>
      <c r="I89" s="1" t="s">
        <v>623</v>
      </c>
      <c r="J89" s="1" t="s">
        <v>623</v>
      </c>
      <c r="K89" s="1" t="s">
        <v>9</v>
      </c>
      <c r="L89" s="1" t="s">
        <v>9</v>
      </c>
      <c r="M89" s="1" t="s">
        <v>8</v>
      </c>
      <c r="N89" s="1" t="s">
        <v>2</v>
      </c>
      <c r="O89" s="1">
        <v>1</v>
      </c>
      <c r="P89" s="1">
        <f>IF(Table13[[#This Row],[design]]="Cross-sectional",0,1)</f>
        <v>0</v>
      </c>
      <c r="Q89" s="1">
        <f>IF(Table13[[#This Row],[adj]]="Adjusted",1,0)</f>
        <v>0</v>
      </c>
      <c r="R89" s="1">
        <f>SUM(Table13[[#This Row],[representative]:[adjust]])</f>
        <v>1</v>
      </c>
    </row>
    <row r="90" spans="1:18" x14ac:dyDescent="0.25">
      <c r="A90" s="1" t="s">
        <v>664</v>
      </c>
      <c r="B90" s="1" t="s">
        <v>665</v>
      </c>
      <c r="C90" s="1" t="s">
        <v>666</v>
      </c>
      <c r="D90" s="1">
        <v>2017</v>
      </c>
      <c r="E90" s="1" t="s">
        <v>21</v>
      </c>
      <c r="F90" s="1" t="s">
        <v>20</v>
      </c>
      <c r="G90" s="1" t="s">
        <v>260</v>
      </c>
      <c r="H90" s="1" t="s">
        <v>39</v>
      </c>
      <c r="I90" s="1" t="s">
        <v>623</v>
      </c>
      <c r="J90" s="1" t="s">
        <v>623</v>
      </c>
      <c r="K90" s="1" t="s">
        <v>9</v>
      </c>
      <c r="L90" s="1" t="s">
        <v>9</v>
      </c>
      <c r="M90" s="1" t="s">
        <v>8</v>
      </c>
      <c r="N90" s="1" t="s">
        <v>2</v>
      </c>
      <c r="O90" s="1">
        <v>1</v>
      </c>
      <c r="P90" s="1">
        <f>IF(Table13[[#This Row],[design]]="Cross-sectional",0,1)</f>
        <v>0</v>
      </c>
      <c r="Q90" s="1">
        <f>IF(Table13[[#This Row],[adj]]="Adjusted",1,0)</f>
        <v>0</v>
      </c>
      <c r="R90" s="1">
        <f>SUM(Table13[[#This Row],[representative]:[adjust]])</f>
        <v>1</v>
      </c>
    </row>
    <row r="91" spans="1:18" x14ac:dyDescent="0.25">
      <c r="A91" s="1" t="s">
        <v>673</v>
      </c>
      <c r="B91" s="1" t="s">
        <v>674</v>
      </c>
      <c r="C91" s="1" t="s">
        <v>675</v>
      </c>
      <c r="D91" s="1">
        <v>2014</v>
      </c>
      <c r="E91" s="1" t="s">
        <v>21</v>
      </c>
      <c r="F91" s="1" t="s">
        <v>20</v>
      </c>
      <c r="G91" s="1" t="s">
        <v>18</v>
      </c>
      <c r="H91" s="1" t="s">
        <v>39</v>
      </c>
      <c r="I91" s="1" t="s">
        <v>680</v>
      </c>
      <c r="J91" s="1" t="s">
        <v>681</v>
      </c>
      <c r="K91" s="1" t="s">
        <v>41</v>
      </c>
      <c r="L91" s="1" t="s">
        <v>53</v>
      </c>
      <c r="M91" s="1" t="s">
        <v>8</v>
      </c>
      <c r="N91" s="1" t="s">
        <v>35</v>
      </c>
      <c r="O91" s="1">
        <v>1</v>
      </c>
      <c r="P91" s="1">
        <f>IF(Table13[[#This Row],[design]]="Cross-sectional",0,1)</f>
        <v>0</v>
      </c>
      <c r="Q91" s="1">
        <f>IF(Table13[[#This Row],[adj]]="Adjusted",1,0)</f>
        <v>1</v>
      </c>
      <c r="R91" s="1">
        <f>SUM(Table13[[#This Row],[representative]:[adjust]])</f>
        <v>2</v>
      </c>
    </row>
    <row r="92" spans="1:18" x14ac:dyDescent="0.25">
      <c r="A92" s="1" t="s">
        <v>685</v>
      </c>
      <c r="B92" s="1" t="s">
        <v>686</v>
      </c>
      <c r="C92" s="1" t="s">
        <v>687</v>
      </c>
      <c r="D92" s="1">
        <v>2018</v>
      </c>
      <c r="E92" s="1" t="s">
        <v>21</v>
      </c>
      <c r="F92" s="1" t="s">
        <v>20</v>
      </c>
      <c r="G92" s="1" t="s">
        <v>260</v>
      </c>
      <c r="H92" s="1" t="s">
        <v>39</v>
      </c>
      <c r="I92" s="1" t="s">
        <v>689</v>
      </c>
      <c r="J92" s="1" t="s">
        <v>555</v>
      </c>
      <c r="K92" s="1" t="s">
        <v>14</v>
      </c>
      <c r="L92" s="1" t="s">
        <v>53</v>
      </c>
      <c r="M92" s="1" t="s">
        <v>8</v>
      </c>
      <c r="N92" s="1" t="s">
        <v>2</v>
      </c>
      <c r="O92" s="1">
        <v>1</v>
      </c>
      <c r="P92" s="1">
        <f>IF(Table13[[#This Row],[design]]="Cross-sectional",0,1)</f>
        <v>0</v>
      </c>
      <c r="Q92" s="1">
        <f>IF(Table13[[#This Row],[adj]]="Adjusted",1,0)</f>
        <v>0</v>
      </c>
      <c r="R92" s="1">
        <f>SUM(Table13[[#This Row],[representative]:[adjust]])</f>
        <v>1</v>
      </c>
    </row>
    <row r="93" spans="1:18" x14ac:dyDescent="0.25">
      <c r="A93" s="1" t="s">
        <v>693</v>
      </c>
      <c r="B93" s="1" t="s">
        <v>694</v>
      </c>
      <c r="C93" s="1" t="s">
        <v>695</v>
      </c>
      <c r="D93" s="1">
        <v>2017</v>
      </c>
      <c r="E93" s="1" t="s">
        <v>21</v>
      </c>
      <c r="F93" s="1" t="s">
        <v>20</v>
      </c>
      <c r="G93" s="1" t="s">
        <v>18</v>
      </c>
      <c r="H93" s="1" t="s">
        <v>80</v>
      </c>
      <c r="I93" s="1" t="s">
        <v>80</v>
      </c>
      <c r="J93" s="1" t="s">
        <v>80</v>
      </c>
      <c r="K93" s="1" t="s">
        <v>41</v>
      </c>
      <c r="L93" s="1" t="s">
        <v>53</v>
      </c>
      <c r="M93" s="1" t="s">
        <v>696</v>
      </c>
      <c r="N93" s="1" t="s">
        <v>2</v>
      </c>
      <c r="O93" s="1">
        <v>1</v>
      </c>
      <c r="P93" s="1">
        <f>IF(Table13[[#This Row],[design]]="Cross-sectional",0,1)</f>
        <v>0</v>
      </c>
      <c r="Q93" s="1">
        <f>IF(Table13[[#This Row],[adj]]="Adjusted",1,0)</f>
        <v>0</v>
      </c>
      <c r="R93" s="1">
        <f>SUM(Table13[[#This Row],[representative]:[adjust]])</f>
        <v>1</v>
      </c>
    </row>
    <row r="94" spans="1:18" x14ac:dyDescent="0.25">
      <c r="A94" s="1" t="s">
        <v>693</v>
      </c>
      <c r="B94" s="1" t="s">
        <v>694</v>
      </c>
      <c r="C94" s="1" t="s">
        <v>695</v>
      </c>
      <c r="D94" s="1">
        <v>2017</v>
      </c>
      <c r="E94" s="1" t="s">
        <v>21</v>
      </c>
      <c r="F94" s="1" t="s">
        <v>20</v>
      </c>
      <c r="G94" s="1" t="s">
        <v>18</v>
      </c>
      <c r="H94" s="1" t="s">
        <v>80</v>
      </c>
      <c r="I94" s="1" t="s">
        <v>80</v>
      </c>
      <c r="J94" s="1" t="s">
        <v>80</v>
      </c>
      <c r="K94" s="1" t="s">
        <v>41</v>
      </c>
      <c r="L94" s="1" t="s">
        <v>53</v>
      </c>
      <c r="M94" s="1" t="s">
        <v>699</v>
      </c>
      <c r="N94" s="1" t="s">
        <v>2</v>
      </c>
      <c r="O94" s="1">
        <v>1</v>
      </c>
      <c r="P94" s="1">
        <f>IF(Table13[[#This Row],[design]]="Cross-sectional",0,1)</f>
        <v>0</v>
      </c>
      <c r="Q94" s="1">
        <f>IF(Table13[[#This Row],[adj]]="Adjusted",1,0)</f>
        <v>0</v>
      </c>
      <c r="R94" s="1">
        <f>SUM(Table13[[#This Row],[representative]:[adjust]])</f>
        <v>1</v>
      </c>
    </row>
    <row r="95" spans="1:18" x14ac:dyDescent="0.25">
      <c r="A95" s="1" t="s">
        <v>693</v>
      </c>
      <c r="B95" s="1" t="s">
        <v>694</v>
      </c>
      <c r="C95" s="1" t="s">
        <v>695</v>
      </c>
      <c r="D95" s="1">
        <v>2017</v>
      </c>
      <c r="E95" s="1" t="s">
        <v>21</v>
      </c>
      <c r="F95" s="1" t="s">
        <v>20</v>
      </c>
      <c r="G95" s="1" t="s">
        <v>18</v>
      </c>
      <c r="H95" s="1" t="s">
        <v>80</v>
      </c>
      <c r="I95" s="1" t="s">
        <v>80</v>
      </c>
      <c r="J95" s="1" t="s">
        <v>80</v>
      </c>
      <c r="K95" s="1" t="s">
        <v>41</v>
      </c>
      <c r="L95" s="1" t="s">
        <v>53</v>
      </c>
      <c r="M95" s="1" t="s">
        <v>160</v>
      </c>
      <c r="N95" s="1" t="s">
        <v>2</v>
      </c>
      <c r="O95" s="1">
        <v>1</v>
      </c>
      <c r="P95" s="1">
        <f>IF(Table13[[#This Row],[design]]="Cross-sectional",0,1)</f>
        <v>0</v>
      </c>
      <c r="Q95" s="1">
        <f>IF(Table13[[#This Row],[adj]]="Adjusted",1,0)</f>
        <v>0</v>
      </c>
      <c r="R95" s="1">
        <f>SUM(Table13[[#This Row],[representative]:[adjust]])</f>
        <v>1</v>
      </c>
    </row>
    <row r="96" spans="1:18" x14ac:dyDescent="0.25">
      <c r="A96" s="1" t="s">
        <v>693</v>
      </c>
      <c r="B96" s="1" t="s">
        <v>694</v>
      </c>
      <c r="C96" s="1" t="s">
        <v>695</v>
      </c>
      <c r="D96" s="1">
        <v>2017</v>
      </c>
      <c r="E96" s="1" t="s">
        <v>21</v>
      </c>
      <c r="F96" s="1" t="s">
        <v>20</v>
      </c>
      <c r="G96" s="1" t="s">
        <v>18</v>
      </c>
      <c r="H96" s="1" t="s">
        <v>80</v>
      </c>
      <c r="I96" s="1" t="s">
        <v>80</v>
      </c>
      <c r="J96" s="1" t="s">
        <v>80</v>
      </c>
      <c r="K96" s="1" t="s">
        <v>41</v>
      </c>
      <c r="L96" s="1" t="s">
        <v>53</v>
      </c>
      <c r="M96" s="1" t="s">
        <v>706</v>
      </c>
      <c r="N96" s="1" t="s">
        <v>2</v>
      </c>
      <c r="O96" s="1">
        <v>1</v>
      </c>
      <c r="P96" s="1">
        <f>IF(Table13[[#This Row],[design]]="Cross-sectional",0,1)</f>
        <v>0</v>
      </c>
      <c r="Q96" s="1">
        <f>IF(Table13[[#This Row],[adj]]="Adjusted",1,0)</f>
        <v>0</v>
      </c>
      <c r="R96" s="1">
        <f>SUM(Table13[[#This Row],[representative]:[adjust]])</f>
        <v>1</v>
      </c>
    </row>
    <row r="97" spans="1:18" x14ac:dyDescent="0.25">
      <c r="A97" s="1" t="s">
        <v>693</v>
      </c>
      <c r="B97" s="1" t="s">
        <v>694</v>
      </c>
      <c r="C97" s="1" t="s">
        <v>695</v>
      </c>
      <c r="D97" s="1">
        <v>2017</v>
      </c>
      <c r="E97" s="1" t="s">
        <v>21</v>
      </c>
      <c r="F97" s="1" t="s">
        <v>20</v>
      </c>
      <c r="G97" s="1" t="s">
        <v>18</v>
      </c>
      <c r="H97" s="1" t="s">
        <v>80</v>
      </c>
      <c r="I97" s="1" t="s">
        <v>80</v>
      </c>
      <c r="J97" s="1" t="s">
        <v>80</v>
      </c>
      <c r="K97" s="1" t="s">
        <v>41</v>
      </c>
      <c r="L97" s="1" t="s">
        <v>53</v>
      </c>
      <c r="M97" s="1" t="s">
        <v>74</v>
      </c>
      <c r="N97" s="1" t="s">
        <v>2</v>
      </c>
      <c r="O97" s="1">
        <v>1</v>
      </c>
      <c r="P97" s="1">
        <f>IF(Table13[[#This Row],[design]]="Cross-sectional",0,1)</f>
        <v>0</v>
      </c>
      <c r="Q97" s="1">
        <f>IF(Table13[[#This Row],[adj]]="Adjusted",1,0)</f>
        <v>0</v>
      </c>
      <c r="R97" s="1">
        <f>SUM(Table13[[#This Row],[representative]:[adjust]])</f>
        <v>1</v>
      </c>
    </row>
    <row r="98" spans="1:18" x14ac:dyDescent="0.25">
      <c r="A98" s="1" t="s">
        <v>711</v>
      </c>
      <c r="B98" s="1" t="s">
        <v>712</v>
      </c>
      <c r="C98" s="1" t="s">
        <v>713</v>
      </c>
      <c r="D98" s="1">
        <v>2017</v>
      </c>
      <c r="E98" s="1" t="s">
        <v>21</v>
      </c>
      <c r="F98" s="1" t="s">
        <v>20</v>
      </c>
      <c r="G98" s="1" t="s">
        <v>18</v>
      </c>
      <c r="H98" s="1" t="s">
        <v>11</v>
      </c>
      <c r="I98" s="1" t="s">
        <v>719</v>
      </c>
      <c r="J98" s="1" t="s">
        <v>541</v>
      </c>
      <c r="K98" s="1" t="s">
        <v>9</v>
      </c>
      <c r="L98" s="1" t="s">
        <v>9</v>
      </c>
      <c r="M98" s="1" t="s">
        <v>8</v>
      </c>
      <c r="N98" s="1" t="s">
        <v>2</v>
      </c>
      <c r="O98" s="1">
        <v>1</v>
      </c>
      <c r="P98" s="1">
        <f>IF(Table13[[#This Row],[design]]="Cross-sectional",0,1)</f>
        <v>0</v>
      </c>
      <c r="Q98" s="1">
        <f>IF(Table13[[#This Row],[adj]]="Adjusted",1,0)</f>
        <v>0</v>
      </c>
      <c r="R98" s="1">
        <f>SUM(Table13[[#This Row],[representative]:[adjust]])</f>
        <v>1</v>
      </c>
    </row>
    <row r="99" spans="1:18" x14ac:dyDescent="0.25">
      <c r="A99" s="1" t="s">
        <v>711</v>
      </c>
      <c r="B99" s="1" t="s">
        <v>712</v>
      </c>
      <c r="C99" s="1" t="s">
        <v>713</v>
      </c>
      <c r="D99" s="1">
        <v>2017</v>
      </c>
      <c r="E99" s="1" t="s">
        <v>21</v>
      </c>
      <c r="F99" s="1" t="s">
        <v>20</v>
      </c>
      <c r="G99" s="1" t="s">
        <v>18</v>
      </c>
      <c r="H99" s="1" t="s">
        <v>11</v>
      </c>
      <c r="I99" s="1" t="s">
        <v>719</v>
      </c>
      <c r="J99" s="1" t="s">
        <v>541</v>
      </c>
      <c r="K99" s="1" t="s">
        <v>9</v>
      </c>
      <c r="L99" s="1" t="s">
        <v>9</v>
      </c>
      <c r="M99" s="1" t="s">
        <v>8</v>
      </c>
      <c r="N99" s="1" t="s">
        <v>2</v>
      </c>
      <c r="O99" s="1">
        <v>1</v>
      </c>
      <c r="P99" s="1">
        <f>IF(Table13[[#This Row],[design]]="Cross-sectional",0,1)</f>
        <v>0</v>
      </c>
      <c r="Q99" s="1">
        <f>IF(Table13[[#This Row],[adj]]="Adjusted",1,0)</f>
        <v>0</v>
      </c>
      <c r="R99" s="1">
        <f>SUM(Table13[[#This Row],[representative]:[adjust]])</f>
        <v>1</v>
      </c>
    </row>
    <row r="100" spans="1:18" x14ac:dyDescent="0.25">
      <c r="A100" s="1" t="s">
        <v>711</v>
      </c>
      <c r="B100" s="1" t="s">
        <v>712</v>
      </c>
      <c r="C100" s="1" t="s">
        <v>713</v>
      </c>
      <c r="D100" s="1">
        <v>2017</v>
      </c>
      <c r="E100" s="1" t="s">
        <v>21</v>
      </c>
      <c r="F100" s="1" t="s">
        <v>20</v>
      </c>
      <c r="G100" s="1" t="s">
        <v>18</v>
      </c>
      <c r="H100" s="1" t="s">
        <v>80</v>
      </c>
      <c r="I100" s="1" t="s">
        <v>722</v>
      </c>
      <c r="J100" s="1" t="s">
        <v>113</v>
      </c>
      <c r="K100" s="1" t="s">
        <v>9</v>
      </c>
      <c r="L100" s="1" t="s">
        <v>9</v>
      </c>
      <c r="M100" s="1" t="s">
        <v>8</v>
      </c>
      <c r="N100" s="1" t="s">
        <v>2</v>
      </c>
      <c r="O100" s="1">
        <v>1</v>
      </c>
      <c r="P100" s="1">
        <f>IF(Table13[[#This Row],[design]]="Cross-sectional",0,1)</f>
        <v>0</v>
      </c>
      <c r="Q100" s="1">
        <f>IF(Table13[[#This Row],[adj]]="Adjusted",1,0)</f>
        <v>0</v>
      </c>
      <c r="R100" s="1">
        <f>SUM(Table13[[#This Row],[representative]:[adjust]])</f>
        <v>1</v>
      </c>
    </row>
    <row r="101" spans="1:18" x14ac:dyDescent="0.25">
      <c r="A101" s="1" t="s">
        <v>711</v>
      </c>
      <c r="B101" s="1" t="s">
        <v>712</v>
      </c>
      <c r="C101" s="1" t="s">
        <v>713</v>
      </c>
      <c r="D101" s="1">
        <v>2017</v>
      </c>
      <c r="E101" s="1" t="s">
        <v>21</v>
      </c>
      <c r="F101" s="1" t="s">
        <v>20</v>
      </c>
      <c r="G101" s="1" t="s">
        <v>18</v>
      </c>
      <c r="H101" s="1" t="s">
        <v>80</v>
      </c>
      <c r="I101" s="1" t="s">
        <v>722</v>
      </c>
      <c r="J101" s="1" t="s">
        <v>113</v>
      </c>
      <c r="K101" s="1" t="s">
        <v>9</v>
      </c>
      <c r="L101" s="1" t="s">
        <v>9</v>
      </c>
      <c r="M101" s="1" t="s">
        <v>8</v>
      </c>
      <c r="N101" s="1" t="s">
        <v>2</v>
      </c>
      <c r="O101" s="1">
        <v>1</v>
      </c>
      <c r="P101" s="1">
        <f>IF(Table13[[#This Row],[design]]="Cross-sectional",0,1)</f>
        <v>0</v>
      </c>
      <c r="Q101" s="1">
        <f>IF(Table13[[#This Row],[adj]]="Adjusted",1,0)</f>
        <v>0</v>
      </c>
      <c r="R101" s="1">
        <f>SUM(Table13[[#This Row],[representative]:[adjust]])</f>
        <v>1</v>
      </c>
    </row>
    <row r="102" spans="1:18" x14ac:dyDescent="0.25">
      <c r="A102" s="1" t="s">
        <v>727</v>
      </c>
      <c r="B102" s="1" t="s">
        <v>728</v>
      </c>
      <c r="C102" s="1" t="s">
        <v>713</v>
      </c>
      <c r="D102" s="1">
        <v>2020</v>
      </c>
      <c r="E102" s="1" t="s">
        <v>21</v>
      </c>
      <c r="F102" s="1" t="s">
        <v>20</v>
      </c>
      <c r="G102" s="1" t="s">
        <v>18</v>
      </c>
      <c r="H102" s="1" t="s">
        <v>11</v>
      </c>
      <c r="I102" s="1" t="s">
        <v>733</v>
      </c>
      <c r="J102" s="1" t="s">
        <v>541</v>
      </c>
      <c r="K102" s="1" t="s">
        <v>9</v>
      </c>
      <c r="L102" s="1" t="s">
        <v>9</v>
      </c>
      <c r="M102" s="1" t="s">
        <v>8</v>
      </c>
      <c r="N102" s="1" t="s">
        <v>35</v>
      </c>
      <c r="O102" s="1">
        <v>1</v>
      </c>
      <c r="P102" s="1">
        <f>IF(Table13[[#This Row],[design]]="Cross-sectional",0,1)</f>
        <v>0</v>
      </c>
      <c r="Q102" s="1">
        <f>IF(Table13[[#This Row],[adj]]="Adjusted",1,0)</f>
        <v>1</v>
      </c>
      <c r="R102" s="1">
        <f>SUM(Table13[[#This Row],[representative]:[adjust]])</f>
        <v>2</v>
      </c>
    </row>
    <row r="103" spans="1:18" x14ac:dyDescent="0.25">
      <c r="A103" s="1" t="s">
        <v>727</v>
      </c>
      <c r="B103" s="1" t="s">
        <v>728</v>
      </c>
      <c r="C103" s="1" t="s">
        <v>713</v>
      </c>
      <c r="D103" s="1">
        <v>2020</v>
      </c>
      <c r="E103" s="1" t="s">
        <v>21</v>
      </c>
      <c r="F103" s="1" t="s">
        <v>20</v>
      </c>
      <c r="G103" s="1" t="s">
        <v>18</v>
      </c>
      <c r="H103" s="1" t="s">
        <v>80</v>
      </c>
      <c r="I103" s="1" t="s">
        <v>737</v>
      </c>
      <c r="J103" s="1" t="s">
        <v>80</v>
      </c>
      <c r="K103" s="1" t="s">
        <v>9</v>
      </c>
      <c r="L103" s="1" t="s">
        <v>9</v>
      </c>
      <c r="M103" s="1" t="s">
        <v>8</v>
      </c>
      <c r="N103" s="1" t="s">
        <v>35</v>
      </c>
      <c r="O103" s="1">
        <v>1</v>
      </c>
      <c r="P103" s="1">
        <f>IF(Table13[[#This Row],[design]]="Cross-sectional",0,1)</f>
        <v>0</v>
      </c>
      <c r="Q103" s="1">
        <f>IF(Table13[[#This Row],[adj]]="Adjusted",1,0)</f>
        <v>1</v>
      </c>
      <c r="R103" s="1">
        <f>SUM(Table13[[#This Row],[representative]:[adjust]])</f>
        <v>2</v>
      </c>
    </row>
    <row r="104" spans="1:18" x14ac:dyDescent="0.25">
      <c r="A104" s="1" t="s">
        <v>740</v>
      </c>
      <c r="B104" s="1" t="s">
        <v>741</v>
      </c>
      <c r="C104" s="1" t="s">
        <v>742</v>
      </c>
      <c r="D104" s="1">
        <v>2023</v>
      </c>
      <c r="E104" s="1" t="s">
        <v>21</v>
      </c>
      <c r="F104" s="1" t="s">
        <v>20</v>
      </c>
      <c r="G104" s="1" t="s">
        <v>148</v>
      </c>
      <c r="H104" s="1" t="s">
        <v>513</v>
      </c>
      <c r="I104" s="1" t="s">
        <v>745</v>
      </c>
      <c r="J104" s="1" t="s">
        <v>1490</v>
      </c>
      <c r="K104" s="1" t="s">
        <v>14</v>
      </c>
      <c r="L104" s="1" t="s">
        <v>53</v>
      </c>
      <c r="M104" s="1" t="s">
        <v>74</v>
      </c>
      <c r="N104" s="1" t="s">
        <v>35</v>
      </c>
      <c r="O104" s="1">
        <v>0</v>
      </c>
      <c r="P104" s="1">
        <f>IF(Table13[[#This Row],[design]]="Cross-sectional",0,1)</f>
        <v>0</v>
      </c>
      <c r="Q104" s="1">
        <f>IF(Table13[[#This Row],[adj]]="Adjusted",1,0)</f>
        <v>1</v>
      </c>
      <c r="R104" s="1">
        <f>SUM(Table13[[#This Row],[representative]:[adjust]])</f>
        <v>1</v>
      </c>
    </row>
    <row r="105" spans="1:18" x14ac:dyDescent="0.25">
      <c r="A105" s="1" t="s">
        <v>740</v>
      </c>
      <c r="B105" s="1" t="s">
        <v>741</v>
      </c>
      <c r="C105" s="1" t="s">
        <v>742</v>
      </c>
      <c r="D105" s="1">
        <v>2023</v>
      </c>
      <c r="E105" s="1" t="s">
        <v>21</v>
      </c>
      <c r="F105" s="1" t="s">
        <v>20</v>
      </c>
      <c r="G105" s="1" t="s">
        <v>148</v>
      </c>
      <c r="H105" s="1" t="s">
        <v>513</v>
      </c>
      <c r="I105" s="1" t="s">
        <v>745</v>
      </c>
      <c r="J105" s="1" t="s">
        <v>1490</v>
      </c>
      <c r="K105" s="1" t="s">
        <v>14</v>
      </c>
      <c r="L105" s="1" t="s">
        <v>53</v>
      </c>
      <c r="M105" s="1" t="s">
        <v>74</v>
      </c>
      <c r="N105" s="1" t="s">
        <v>35</v>
      </c>
      <c r="O105" s="1">
        <v>0</v>
      </c>
      <c r="P105" s="1">
        <f>IF(Table13[[#This Row],[design]]="Cross-sectional",0,1)</f>
        <v>0</v>
      </c>
      <c r="Q105" s="1">
        <f>IF(Table13[[#This Row],[adj]]="Adjusted",1,0)</f>
        <v>1</v>
      </c>
      <c r="R105" s="1">
        <f>SUM(Table13[[#This Row],[representative]:[adjust]])</f>
        <v>1</v>
      </c>
    </row>
    <row r="106" spans="1:18" x14ac:dyDescent="0.25">
      <c r="A106" s="1" t="s">
        <v>740</v>
      </c>
      <c r="B106" s="1" t="s">
        <v>741</v>
      </c>
      <c r="C106" s="1" t="s">
        <v>742</v>
      </c>
      <c r="D106" s="1">
        <v>2023</v>
      </c>
      <c r="E106" s="1" t="s">
        <v>21</v>
      </c>
      <c r="F106" s="1" t="s">
        <v>20</v>
      </c>
      <c r="G106" s="1" t="s">
        <v>148</v>
      </c>
      <c r="H106" s="1" t="s">
        <v>513</v>
      </c>
      <c r="I106" s="1" t="s">
        <v>745</v>
      </c>
      <c r="J106" s="1" t="s">
        <v>1490</v>
      </c>
      <c r="K106" s="1" t="s">
        <v>14</v>
      </c>
      <c r="L106" s="1" t="s">
        <v>53</v>
      </c>
      <c r="M106" s="1" t="s">
        <v>74</v>
      </c>
      <c r="N106" s="1" t="s">
        <v>35</v>
      </c>
      <c r="O106" s="1">
        <v>0</v>
      </c>
      <c r="P106" s="1">
        <f>IF(Table13[[#This Row],[design]]="Cross-sectional",0,1)</f>
        <v>0</v>
      </c>
      <c r="Q106" s="1">
        <f>IF(Table13[[#This Row],[adj]]="Adjusted",1,0)</f>
        <v>1</v>
      </c>
      <c r="R106" s="1">
        <f>SUM(Table13[[#This Row],[representative]:[adjust]])</f>
        <v>1</v>
      </c>
    </row>
    <row r="107" spans="1:18" x14ac:dyDescent="0.25">
      <c r="A107" s="1" t="s">
        <v>740</v>
      </c>
      <c r="B107" s="1" t="s">
        <v>741</v>
      </c>
      <c r="C107" s="1" t="s">
        <v>742</v>
      </c>
      <c r="D107" s="1">
        <v>2023</v>
      </c>
      <c r="E107" s="1" t="s">
        <v>21</v>
      </c>
      <c r="F107" s="1" t="s">
        <v>20</v>
      </c>
      <c r="G107" s="1" t="s">
        <v>148</v>
      </c>
      <c r="H107" s="1" t="s">
        <v>513</v>
      </c>
      <c r="I107" s="1" t="s">
        <v>745</v>
      </c>
      <c r="J107" s="1" t="s">
        <v>1490</v>
      </c>
      <c r="K107" s="1" t="s">
        <v>14</v>
      </c>
      <c r="L107" s="1" t="s">
        <v>53</v>
      </c>
      <c r="M107" s="1" t="s">
        <v>74</v>
      </c>
      <c r="N107" s="1" t="s">
        <v>35</v>
      </c>
      <c r="O107" s="1">
        <v>0</v>
      </c>
      <c r="P107" s="1">
        <f>IF(Table13[[#This Row],[design]]="Cross-sectional",0,1)</f>
        <v>0</v>
      </c>
      <c r="Q107" s="1">
        <f>IF(Table13[[#This Row],[adj]]="Adjusted",1,0)</f>
        <v>1</v>
      </c>
      <c r="R107" s="1">
        <f>SUM(Table13[[#This Row],[representative]:[adjust]])</f>
        <v>1</v>
      </c>
    </row>
    <row r="108" spans="1:18" x14ac:dyDescent="0.25">
      <c r="A108" s="1" t="s">
        <v>740</v>
      </c>
      <c r="B108" s="1" t="s">
        <v>741</v>
      </c>
      <c r="C108" s="1" t="s">
        <v>742</v>
      </c>
      <c r="D108" s="1">
        <v>2023</v>
      </c>
      <c r="E108" s="1" t="s">
        <v>21</v>
      </c>
      <c r="F108" s="1" t="s">
        <v>20</v>
      </c>
      <c r="G108" s="1" t="s">
        <v>148</v>
      </c>
      <c r="H108" s="1" t="s">
        <v>513</v>
      </c>
      <c r="I108" s="1" t="s">
        <v>1491</v>
      </c>
      <c r="J108" s="1" t="s">
        <v>1490</v>
      </c>
      <c r="K108" s="1" t="s">
        <v>14</v>
      </c>
      <c r="L108" s="1" t="s">
        <v>53</v>
      </c>
      <c r="M108" s="1" t="s">
        <v>74</v>
      </c>
      <c r="N108" s="1" t="s">
        <v>35</v>
      </c>
      <c r="O108" s="1">
        <v>0</v>
      </c>
      <c r="P108" s="1">
        <f>IF(Table13[[#This Row],[design]]="Cross-sectional",0,1)</f>
        <v>0</v>
      </c>
      <c r="Q108" s="1">
        <f>IF(Table13[[#This Row],[adj]]="Adjusted",1,0)</f>
        <v>1</v>
      </c>
      <c r="R108" s="1">
        <f>SUM(Table13[[#This Row],[representative]:[adjust]])</f>
        <v>1</v>
      </c>
    </row>
    <row r="109" spans="1:18" x14ac:dyDescent="0.25">
      <c r="A109" s="1" t="s">
        <v>740</v>
      </c>
      <c r="B109" s="1" t="s">
        <v>741</v>
      </c>
      <c r="C109" s="1" t="s">
        <v>742</v>
      </c>
      <c r="D109" s="1">
        <v>2023</v>
      </c>
      <c r="E109" s="1" t="s">
        <v>21</v>
      </c>
      <c r="F109" s="1" t="s">
        <v>20</v>
      </c>
      <c r="G109" s="1" t="s">
        <v>148</v>
      </c>
      <c r="H109" s="1" t="s">
        <v>513</v>
      </c>
      <c r="I109" s="1" t="s">
        <v>1491</v>
      </c>
      <c r="J109" s="1" t="s">
        <v>1490</v>
      </c>
      <c r="K109" s="1" t="s">
        <v>14</v>
      </c>
      <c r="L109" s="1" t="s">
        <v>53</v>
      </c>
      <c r="M109" s="1" t="s">
        <v>74</v>
      </c>
      <c r="N109" s="1" t="s">
        <v>35</v>
      </c>
      <c r="O109" s="1">
        <v>0</v>
      </c>
      <c r="P109" s="1">
        <f>IF(Table13[[#This Row],[design]]="Cross-sectional",0,1)</f>
        <v>0</v>
      </c>
      <c r="Q109" s="1">
        <f>IF(Table13[[#This Row],[adj]]="Adjusted",1,0)</f>
        <v>1</v>
      </c>
      <c r="R109" s="1">
        <f>SUM(Table13[[#This Row],[representative]:[adjust]])</f>
        <v>1</v>
      </c>
    </row>
    <row r="110" spans="1:18" x14ac:dyDescent="0.25">
      <c r="A110" s="1" t="s">
        <v>740</v>
      </c>
      <c r="B110" s="1" t="s">
        <v>741</v>
      </c>
      <c r="C110" s="1" t="s">
        <v>742</v>
      </c>
      <c r="D110" s="1">
        <v>2023</v>
      </c>
      <c r="E110" s="1" t="s">
        <v>21</v>
      </c>
      <c r="F110" s="1" t="s">
        <v>20</v>
      </c>
      <c r="G110" s="1" t="s">
        <v>148</v>
      </c>
      <c r="H110" s="1" t="s">
        <v>513</v>
      </c>
      <c r="I110" s="1" t="s">
        <v>1491</v>
      </c>
      <c r="J110" s="1" t="s">
        <v>1490</v>
      </c>
      <c r="K110" s="1" t="s">
        <v>14</v>
      </c>
      <c r="L110" s="1" t="s">
        <v>53</v>
      </c>
      <c r="M110" s="1" t="s">
        <v>74</v>
      </c>
      <c r="N110" s="1" t="s">
        <v>35</v>
      </c>
      <c r="O110" s="1">
        <v>0</v>
      </c>
      <c r="P110" s="1">
        <f>IF(Table13[[#This Row],[design]]="Cross-sectional",0,1)</f>
        <v>0</v>
      </c>
      <c r="Q110" s="1">
        <f>IF(Table13[[#This Row],[adj]]="Adjusted",1,0)</f>
        <v>1</v>
      </c>
      <c r="R110" s="1">
        <f>SUM(Table13[[#This Row],[representative]:[adjust]])</f>
        <v>1</v>
      </c>
    </row>
    <row r="111" spans="1:18" x14ac:dyDescent="0.25">
      <c r="A111" s="1" t="s">
        <v>740</v>
      </c>
      <c r="B111" s="1" t="s">
        <v>741</v>
      </c>
      <c r="C111" s="1" t="s">
        <v>742</v>
      </c>
      <c r="D111" s="1">
        <v>2023</v>
      </c>
      <c r="E111" s="1" t="s">
        <v>21</v>
      </c>
      <c r="F111" s="1" t="s">
        <v>20</v>
      </c>
      <c r="G111" s="1" t="s">
        <v>148</v>
      </c>
      <c r="H111" s="1" t="s">
        <v>513</v>
      </c>
      <c r="I111" s="1" t="s">
        <v>1491</v>
      </c>
      <c r="J111" s="1" t="s">
        <v>1490</v>
      </c>
      <c r="K111" s="1" t="s">
        <v>14</v>
      </c>
      <c r="L111" s="1" t="s">
        <v>53</v>
      </c>
      <c r="M111" s="1" t="s">
        <v>74</v>
      </c>
      <c r="N111" s="1" t="s">
        <v>35</v>
      </c>
      <c r="O111" s="1">
        <v>0</v>
      </c>
      <c r="P111" s="1">
        <f>IF(Table13[[#This Row],[design]]="Cross-sectional",0,1)</f>
        <v>0</v>
      </c>
      <c r="Q111" s="1">
        <f>IF(Table13[[#This Row],[adj]]="Adjusted",1,0)</f>
        <v>1</v>
      </c>
      <c r="R111" s="1">
        <f>SUM(Table13[[#This Row],[representative]:[adjust]])</f>
        <v>1</v>
      </c>
    </row>
    <row r="112" spans="1:18" x14ac:dyDescent="0.25">
      <c r="A112" s="1" t="s">
        <v>740</v>
      </c>
      <c r="B112" s="1" t="s">
        <v>741</v>
      </c>
      <c r="C112" s="1" t="s">
        <v>742</v>
      </c>
      <c r="D112" s="1">
        <v>2023</v>
      </c>
      <c r="E112" s="1" t="s">
        <v>21</v>
      </c>
      <c r="F112" s="1" t="s">
        <v>20</v>
      </c>
      <c r="G112" s="1" t="s">
        <v>148</v>
      </c>
      <c r="H112" s="1" t="s">
        <v>39</v>
      </c>
      <c r="I112" s="1" t="s">
        <v>1492</v>
      </c>
      <c r="J112" s="1" t="s">
        <v>1489</v>
      </c>
      <c r="K112" s="1" t="s">
        <v>14</v>
      </c>
      <c r="L112" s="1" t="s">
        <v>53</v>
      </c>
      <c r="M112" s="1" t="s">
        <v>8</v>
      </c>
      <c r="N112" s="1" t="s">
        <v>35</v>
      </c>
      <c r="O112" s="1">
        <v>0</v>
      </c>
      <c r="P112" s="1">
        <f>IF(Table13[[#This Row],[design]]="Cross-sectional",0,1)</f>
        <v>0</v>
      </c>
      <c r="Q112" s="1">
        <f>IF(Table13[[#This Row],[adj]]="Adjusted",1,0)</f>
        <v>1</v>
      </c>
      <c r="R112" s="1">
        <f>SUM(Table13[[#This Row],[representative]:[adjust]])</f>
        <v>1</v>
      </c>
    </row>
    <row r="113" spans="1:18" x14ac:dyDescent="0.25">
      <c r="A113" s="1" t="s">
        <v>740</v>
      </c>
      <c r="B113" s="1" t="s">
        <v>741</v>
      </c>
      <c r="C113" s="1" t="s">
        <v>742</v>
      </c>
      <c r="D113" s="1">
        <v>2023</v>
      </c>
      <c r="E113" s="1" t="s">
        <v>21</v>
      </c>
      <c r="F113" s="1" t="s">
        <v>20</v>
      </c>
      <c r="G113" s="1" t="s">
        <v>148</v>
      </c>
      <c r="H113" s="1" t="s">
        <v>39</v>
      </c>
      <c r="I113" s="1" t="s">
        <v>1492</v>
      </c>
      <c r="J113" s="1" t="s">
        <v>1489</v>
      </c>
      <c r="K113" s="1" t="s">
        <v>14</v>
      </c>
      <c r="L113" s="1" t="s">
        <v>53</v>
      </c>
      <c r="M113" s="1" t="s">
        <v>8</v>
      </c>
      <c r="N113" s="1" t="s">
        <v>35</v>
      </c>
      <c r="O113" s="1">
        <v>0</v>
      </c>
      <c r="P113" s="1">
        <f>IF(Table13[[#This Row],[design]]="Cross-sectional",0,1)</f>
        <v>0</v>
      </c>
      <c r="Q113" s="1">
        <f>IF(Table13[[#This Row],[adj]]="Adjusted",1,0)</f>
        <v>1</v>
      </c>
      <c r="R113" s="1">
        <f>SUM(Table13[[#This Row],[representative]:[adjust]])</f>
        <v>1</v>
      </c>
    </row>
    <row r="114" spans="1:18" x14ac:dyDescent="0.25">
      <c r="A114" s="1" t="s">
        <v>740</v>
      </c>
      <c r="B114" s="1" t="s">
        <v>741</v>
      </c>
      <c r="C114" s="1" t="s">
        <v>742</v>
      </c>
      <c r="D114" s="1">
        <v>2023</v>
      </c>
      <c r="E114" s="1" t="s">
        <v>21</v>
      </c>
      <c r="F114" s="1" t="s">
        <v>20</v>
      </c>
      <c r="G114" s="1" t="s">
        <v>148</v>
      </c>
      <c r="H114" s="1" t="s">
        <v>39</v>
      </c>
      <c r="I114" s="1" t="s">
        <v>1492</v>
      </c>
      <c r="J114" s="1" t="s">
        <v>1489</v>
      </c>
      <c r="K114" s="1" t="s">
        <v>14</v>
      </c>
      <c r="L114" s="1" t="s">
        <v>53</v>
      </c>
      <c r="M114" s="1" t="s">
        <v>8</v>
      </c>
      <c r="N114" s="1" t="s">
        <v>35</v>
      </c>
      <c r="O114" s="1">
        <v>0</v>
      </c>
      <c r="P114" s="1">
        <f>IF(Table13[[#This Row],[design]]="Cross-sectional",0,1)</f>
        <v>0</v>
      </c>
      <c r="Q114" s="1">
        <f>IF(Table13[[#This Row],[adj]]="Adjusted",1,0)</f>
        <v>1</v>
      </c>
      <c r="R114" s="1">
        <f>SUM(Table13[[#This Row],[representative]:[adjust]])</f>
        <v>1</v>
      </c>
    </row>
    <row r="115" spans="1:18" x14ac:dyDescent="0.25">
      <c r="A115" s="1" t="s">
        <v>740</v>
      </c>
      <c r="B115" s="1" t="s">
        <v>741</v>
      </c>
      <c r="C115" s="1" t="s">
        <v>742</v>
      </c>
      <c r="D115" s="1">
        <v>2023</v>
      </c>
      <c r="E115" s="1" t="s">
        <v>21</v>
      </c>
      <c r="F115" s="1" t="s">
        <v>20</v>
      </c>
      <c r="G115" s="1" t="s">
        <v>148</v>
      </c>
      <c r="H115" s="1" t="s">
        <v>39</v>
      </c>
      <c r="I115" s="1" t="s">
        <v>1492</v>
      </c>
      <c r="J115" s="1" t="s">
        <v>1489</v>
      </c>
      <c r="K115" s="1" t="s">
        <v>14</v>
      </c>
      <c r="L115" s="1" t="s">
        <v>53</v>
      </c>
      <c r="M115" s="1" t="s">
        <v>8</v>
      </c>
      <c r="N115" s="1" t="s">
        <v>35</v>
      </c>
      <c r="O115" s="1">
        <v>0</v>
      </c>
      <c r="P115" s="1">
        <f>IF(Table13[[#This Row],[design]]="Cross-sectional",0,1)</f>
        <v>0</v>
      </c>
      <c r="Q115" s="1">
        <f>IF(Table13[[#This Row],[adj]]="Adjusted",1,0)</f>
        <v>1</v>
      </c>
      <c r="R115" s="1">
        <f>SUM(Table13[[#This Row],[representative]:[adjust]])</f>
        <v>1</v>
      </c>
    </row>
    <row r="116" spans="1:18" x14ac:dyDescent="0.25">
      <c r="A116" s="1" t="s">
        <v>757</v>
      </c>
      <c r="B116" s="1" t="s">
        <v>758</v>
      </c>
      <c r="C116" s="1" t="s">
        <v>759</v>
      </c>
      <c r="D116" s="1">
        <v>2017</v>
      </c>
      <c r="E116" s="1" t="s">
        <v>21</v>
      </c>
      <c r="F116" s="1" t="s">
        <v>20</v>
      </c>
      <c r="G116" s="1" t="s">
        <v>1522</v>
      </c>
      <c r="H116" s="1" t="s">
        <v>39</v>
      </c>
      <c r="I116" s="1" t="s">
        <v>761</v>
      </c>
      <c r="J116" s="1" t="s">
        <v>762</v>
      </c>
      <c r="K116" s="1" t="s">
        <v>14</v>
      </c>
      <c r="L116" s="1" t="s">
        <v>53</v>
      </c>
      <c r="M116" s="1" t="s">
        <v>160</v>
      </c>
      <c r="N116" s="1" t="s">
        <v>35</v>
      </c>
      <c r="O116" s="1">
        <v>0</v>
      </c>
      <c r="P116" s="1">
        <f>IF(Table13[[#This Row],[design]]="Cross-sectional",0,1)</f>
        <v>0</v>
      </c>
      <c r="Q116" s="1">
        <f>IF(Table13[[#This Row],[adj]]="Adjusted",1,0)</f>
        <v>1</v>
      </c>
      <c r="R116" s="1">
        <f>SUM(Table13[[#This Row],[representative]:[adjust]])</f>
        <v>1</v>
      </c>
    </row>
    <row r="117" spans="1:18" x14ac:dyDescent="0.25">
      <c r="A117" s="1" t="s">
        <v>757</v>
      </c>
      <c r="B117" s="1" t="s">
        <v>758</v>
      </c>
      <c r="C117" s="1" t="s">
        <v>759</v>
      </c>
      <c r="D117" s="1">
        <v>2017</v>
      </c>
      <c r="E117" s="1" t="s">
        <v>21</v>
      </c>
      <c r="F117" s="1" t="s">
        <v>20</v>
      </c>
      <c r="G117" s="1" t="s">
        <v>1522</v>
      </c>
      <c r="H117" s="1" t="s">
        <v>39</v>
      </c>
      <c r="I117" s="1" t="s">
        <v>761</v>
      </c>
      <c r="J117" s="1" t="s">
        <v>762</v>
      </c>
      <c r="K117" s="1" t="s">
        <v>14</v>
      </c>
      <c r="L117" s="1" t="s">
        <v>53</v>
      </c>
      <c r="M117" s="1" t="s">
        <v>780</v>
      </c>
      <c r="N117" s="1" t="s">
        <v>35</v>
      </c>
      <c r="O117" s="1">
        <v>0</v>
      </c>
      <c r="P117" s="1">
        <f>IF(Table13[[#This Row],[design]]="Cross-sectional",0,1)</f>
        <v>0</v>
      </c>
      <c r="Q117" s="1">
        <f>IF(Table13[[#This Row],[adj]]="Adjusted",1,0)</f>
        <v>1</v>
      </c>
      <c r="R117" s="1">
        <f>SUM(Table13[[#This Row],[representative]:[adjust]])</f>
        <v>1</v>
      </c>
    </row>
    <row r="118" spans="1:18" x14ac:dyDescent="0.25">
      <c r="A118" s="1" t="s">
        <v>757</v>
      </c>
      <c r="B118" s="1" t="s">
        <v>758</v>
      </c>
      <c r="C118" s="1" t="s">
        <v>759</v>
      </c>
      <c r="D118" s="1">
        <v>2017</v>
      </c>
      <c r="E118" s="1" t="s">
        <v>21</v>
      </c>
      <c r="F118" s="1" t="s">
        <v>20</v>
      </c>
      <c r="G118" s="1" t="s">
        <v>1522</v>
      </c>
      <c r="H118" s="1" t="s">
        <v>39</v>
      </c>
      <c r="I118" s="1" t="s">
        <v>761</v>
      </c>
      <c r="J118" s="1" t="s">
        <v>762</v>
      </c>
      <c r="K118" s="1" t="s">
        <v>14</v>
      </c>
      <c r="L118" s="1" t="s">
        <v>53</v>
      </c>
      <c r="M118" s="1" t="s">
        <v>63</v>
      </c>
      <c r="N118" s="1" t="s">
        <v>35</v>
      </c>
      <c r="O118" s="1">
        <v>0</v>
      </c>
      <c r="P118" s="1">
        <f>IF(Table13[[#This Row],[design]]="Cross-sectional",0,1)</f>
        <v>0</v>
      </c>
      <c r="Q118" s="1">
        <f>IF(Table13[[#This Row],[adj]]="Adjusted",1,0)</f>
        <v>1</v>
      </c>
      <c r="R118" s="1">
        <f>SUM(Table13[[#This Row],[representative]:[adjust]])</f>
        <v>1</v>
      </c>
    </row>
    <row r="119" spans="1:18" x14ac:dyDescent="0.25">
      <c r="A119" s="1" t="s">
        <v>757</v>
      </c>
      <c r="B119" s="1" t="s">
        <v>758</v>
      </c>
      <c r="C119" s="1" t="s">
        <v>759</v>
      </c>
      <c r="D119" s="1">
        <v>2017</v>
      </c>
      <c r="E119" s="1" t="s">
        <v>21</v>
      </c>
      <c r="F119" s="1" t="s">
        <v>20</v>
      </c>
      <c r="G119" s="1" t="s">
        <v>1522</v>
      </c>
      <c r="H119" s="1" t="s">
        <v>39</v>
      </c>
      <c r="I119" s="1" t="s">
        <v>786</v>
      </c>
      <c r="J119" s="1" t="s">
        <v>762</v>
      </c>
      <c r="K119" s="1" t="s">
        <v>14</v>
      </c>
      <c r="L119" s="1" t="s">
        <v>53</v>
      </c>
      <c r="M119" s="1" t="s">
        <v>63</v>
      </c>
      <c r="N119" s="1" t="s">
        <v>35</v>
      </c>
      <c r="O119" s="1">
        <v>0</v>
      </c>
      <c r="P119" s="1">
        <f>IF(Table13[[#This Row],[design]]="Cross-sectional",0,1)</f>
        <v>0</v>
      </c>
      <c r="Q119" s="1">
        <f>IF(Table13[[#This Row],[adj]]="Adjusted",1,0)</f>
        <v>1</v>
      </c>
      <c r="R119" s="1">
        <f>SUM(Table13[[#This Row],[representative]:[adjust]])</f>
        <v>1</v>
      </c>
    </row>
    <row r="120" spans="1:18" x14ac:dyDescent="0.25">
      <c r="A120" s="1" t="s">
        <v>757</v>
      </c>
      <c r="B120" s="1" t="s">
        <v>758</v>
      </c>
      <c r="C120" s="1" t="s">
        <v>759</v>
      </c>
      <c r="D120" s="1">
        <v>2017</v>
      </c>
      <c r="E120" s="1" t="s">
        <v>21</v>
      </c>
      <c r="F120" s="1" t="s">
        <v>20</v>
      </c>
      <c r="G120" s="1" t="s">
        <v>1522</v>
      </c>
      <c r="H120" s="1" t="s">
        <v>39</v>
      </c>
      <c r="I120" s="1" t="s">
        <v>786</v>
      </c>
      <c r="J120" s="1" t="s">
        <v>762</v>
      </c>
      <c r="K120" s="1" t="s">
        <v>14</v>
      </c>
      <c r="L120" s="1" t="s">
        <v>53</v>
      </c>
      <c r="M120" s="1" t="s">
        <v>63</v>
      </c>
      <c r="N120" s="1" t="s">
        <v>35</v>
      </c>
      <c r="O120" s="1">
        <v>0</v>
      </c>
      <c r="P120" s="1">
        <f>IF(Table13[[#This Row],[design]]="Cross-sectional",0,1)</f>
        <v>0</v>
      </c>
      <c r="Q120" s="1">
        <f>IF(Table13[[#This Row],[adj]]="Adjusted",1,0)</f>
        <v>1</v>
      </c>
      <c r="R120" s="1">
        <f>SUM(Table13[[#This Row],[representative]:[adjust]])</f>
        <v>1</v>
      </c>
    </row>
    <row r="121" spans="1:18" x14ac:dyDescent="0.25">
      <c r="A121" s="1" t="s">
        <v>757</v>
      </c>
      <c r="B121" s="1" t="s">
        <v>758</v>
      </c>
      <c r="C121" s="1" t="s">
        <v>759</v>
      </c>
      <c r="D121" s="1">
        <v>2017</v>
      </c>
      <c r="E121" s="1" t="s">
        <v>21</v>
      </c>
      <c r="F121" s="1" t="s">
        <v>20</v>
      </c>
      <c r="G121" s="1" t="s">
        <v>1522</v>
      </c>
      <c r="H121" s="1" t="s">
        <v>39</v>
      </c>
      <c r="I121" s="1" t="s">
        <v>769</v>
      </c>
      <c r="J121" s="1" t="s">
        <v>762</v>
      </c>
      <c r="K121" s="1" t="s">
        <v>14</v>
      </c>
      <c r="L121" s="1" t="s">
        <v>53</v>
      </c>
      <c r="M121" s="1" t="s">
        <v>160</v>
      </c>
      <c r="N121" s="1" t="s">
        <v>35</v>
      </c>
      <c r="O121" s="1">
        <v>0</v>
      </c>
      <c r="P121" s="1">
        <f>IF(Table13[[#This Row],[design]]="Cross-sectional",0,1)</f>
        <v>0</v>
      </c>
      <c r="Q121" s="1">
        <f>IF(Table13[[#This Row],[adj]]="Adjusted",1,0)</f>
        <v>1</v>
      </c>
      <c r="R121" s="1">
        <f>SUM(Table13[[#This Row],[representative]:[adjust]])</f>
        <v>1</v>
      </c>
    </row>
    <row r="122" spans="1:18" x14ac:dyDescent="0.25">
      <c r="A122" s="1" t="s">
        <v>757</v>
      </c>
      <c r="B122" s="1" t="s">
        <v>758</v>
      </c>
      <c r="C122" s="1" t="s">
        <v>759</v>
      </c>
      <c r="D122" s="1">
        <v>2017</v>
      </c>
      <c r="E122" s="1" t="s">
        <v>21</v>
      </c>
      <c r="F122" s="1" t="s">
        <v>20</v>
      </c>
      <c r="G122" s="1" t="s">
        <v>1522</v>
      </c>
      <c r="H122" s="1" t="s">
        <v>39</v>
      </c>
      <c r="I122" s="1" t="s">
        <v>769</v>
      </c>
      <c r="J122" s="1" t="s">
        <v>762</v>
      </c>
      <c r="K122" s="1" t="s">
        <v>14</v>
      </c>
      <c r="L122" s="1" t="s">
        <v>53</v>
      </c>
      <c r="M122" s="1" t="s">
        <v>160</v>
      </c>
      <c r="N122" s="1" t="s">
        <v>35</v>
      </c>
      <c r="O122" s="1">
        <v>0</v>
      </c>
      <c r="P122" s="1">
        <f>IF(Table13[[#This Row],[design]]="Cross-sectional",0,1)</f>
        <v>0</v>
      </c>
      <c r="Q122" s="1">
        <f>IF(Table13[[#This Row],[adj]]="Adjusted",1,0)</f>
        <v>1</v>
      </c>
      <c r="R122" s="1">
        <f>SUM(Table13[[#This Row],[representative]:[adjust]])</f>
        <v>1</v>
      </c>
    </row>
    <row r="123" spans="1:18" x14ac:dyDescent="0.25">
      <c r="A123" s="1" t="s">
        <v>757</v>
      </c>
      <c r="B123" s="1" t="s">
        <v>758</v>
      </c>
      <c r="C123" s="1" t="s">
        <v>759</v>
      </c>
      <c r="D123" s="1">
        <v>2017</v>
      </c>
      <c r="E123" s="1" t="s">
        <v>21</v>
      </c>
      <c r="F123" s="1" t="s">
        <v>20</v>
      </c>
      <c r="G123" s="1" t="s">
        <v>1522</v>
      </c>
      <c r="H123" s="1" t="s">
        <v>39</v>
      </c>
      <c r="I123" s="1" t="s">
        <v>769</v>
      </c>
      <c r="J123" s="1" t="s">
        <v>762</v>
      </c>
      <c r="K123" s="1" t="s">
        <v>14</v>
      </c>
      <c r="L123" s="1" t="s">
        <v>53</v>
      </c>
      <c r="M123" s="1" t="s">
        <v>63</v>
      </c>
      <c r="N123" s="1" t="s">
        <v>35</v>
      </c>
      <c r="O123" s="1">
        <v>0</v>
      </c>
      <c r="P123" s="1">
        <f>IF(Table13[[#This Row],[design]]="Cross-sectional",0,1)</f>
        <v>0</v>
      </c>
      <c r="Q123" s="1">
        <f>IF(Table13[[#This Row],[adj]]="Adjusted",1,0)</f>
        <v>1</v>
      </c>
      <c r="R123" s="1">
        <f>SUM(Table13[[#This Row],[representative]:[adjust]])</f>
        <v>1</v>
      </c>
    </row>
    <row r="124" spans="1:18" x14ac:dyDescent="0.25">
      <c r="A124" s="1" t="s">
        <v>757</v>
      </c>
      <c r="B124" s="1" t="s">
        <v>758</v>
      </c>
      <c r="C124" s="1" t="s">
        <v>759</v>
      </c>
      <c r="D124" s="1">
        <v>2017</v>
      </c>
      <c r="E124" s="1" t="s">
        <v>21</v>
      </c>
      <c r="F124" s="1" t="s">
        <v>20</v>
      </c>
      <c r="G124" s="1" t="s">
        <v>1522</v>
      </c>
      <c r="H124" s="1" t="s">
        <v>39</v>
      </c>
      <c r="I124" s="1" t="s">
        <v>769</v>
      </c>
      <c r="J124" s="1" t="s">
        <v>762</v>
      </c>
      <c r="K124" s="1" t="s">
        <v>14</v>
      </c>
      <c r="L124" s="1" t="s">
        <v>53</v>
      </c>
      <c r="M124" s="1" t="s">
        <v>160</v>
      </c>
      <c r="N124" s="1" t="s">
        <v>35</v>
      </c>
      <c r="O124" s="1">
        <v>0</v>
      </c>
      <c r="P124" s="1">
        <f>IF(Table13[[#This Row],[design]]="Cross-sectional",0,1)</f>
        <v>0</v>
      </c>
      <c r="Q124" s="1">
        <f>IF(Table13[[#This Row],[adj]]="Adjusted",1,0)</f>
        <v>1</v>
      </c>
      <c r="R124" s="1">
        <f>SUM(Table13[[#This Row],[representative]:[adjust]])</f>
        <v>1</v>
      </c>
    </row>
    <row r="125" spans="1:18" x14ac:dyDescent="0.25">
      <c r="A125" s="1" t="s">
        <v>757</v>
      </c>
      <c r="B125" s="1" t="s">
        <v>758</v>
      </c>
      <c r="C125" s="1" t="s">
        <v>759</v>
      </c>
      <c r="D125" s="1">
        <v>2017</v>
      </c>
      <c r="E125" s="1" t="s">
        <v>21</v>
      </c>
      <c r="F125" s="1" t="s">
        <v>20</v>
      </c>
      <c r="G125" s="1" t="s">
        <v>1522</v>
      </c>
      <c r="H125" s="1" t="s">
        <v>39</v>
      </c>
      <c r="I125" s="1" t="s">
        <v>783</v>
      </c>
      <c r="J125" s="1" t="s">
        <v>762</v>
      </c>
      <c r="K125" s="1" t="s">
        <v>14</v>
      </c>
      <c r="L125" s="1" t="s">
        <v>53</v>
      </c>
      <c r="M125" s="1" t="s">
        <v>780</v>
      </c>
      <c r="N125" s="1" t="s">
        <v>35</v>
      </c>
      <c r="O125" s="1">
        <v>0</v>
      </c>
      <c r="P125" s="1">
        <f>IF(Table13[[#This Row],[design]]="Cross-sectional",0,1)</f>
        <v>0</v>
      </c>
      <c r="Q125" s="1">
        <f>IF(Table13[[#This Row],[adj]]="Adjusted",1,0)</f>
        <v>1</v>
      </c>
      <c r="R125" s="1">
        <f>SUM(Table13[[#This Row],[representative]:[adjust]])</f>
        <v>1</v>
      </c>
    </row>
    <row r="126" spans="1:18" x14ac:dyDescent="0.25">
      <c r="A126" s="1" t="s">
        <v>757</v>
      </c>
      <c r="B126" s="1" t="s">
        <v>758</v>
      </c>
      <c r="C126" s="1" t="s">
        <v>759</v>
      </c>
      <c r="D126" s="1">
        <v>2017</v>
      </c>
      <c r="E126" s="1" t="s">
        <v>21</v>
      </c>
      <c r="F126" s="1" t="s">
        <v>20</v>
      </c>
      <c r="G126" s="1" t="s">
        <v>1522</v>
      </c>
      <c r="H126" s="1" t="s">
        <v>39</v>
      </c>
      <c r="I126" s="1" t="s">
        <v>783</v>
      </c>
      <c r="J126" s="1" t="s">
        <v>762</v>
      </c>
      <c r="K126" s="1" t="s">
        <v>14</v>
      </c>
      <c r="L126" s="1" t="s">
        <v>53</v>
      </c>
      <c r="M126" s="1" t="s">
        <v>780</v>
      </c>
      <c r="N126" s="1" t="s">
        <v>35</v>
      </c>
      <c r="O126" s="1">
        <v>0</v>
      </c>
      <c r="P126" s="1">
        <f>IF(Table13[[#This Row],[design]]="Cross-sectional",0,1)</f>
        <v>0</v>
      </c>
      <c r="Q126" s="1">
        <f>IF(Table13[[#This Row],[adj]]="Adjusted",1,0)</f>
        <v>1</v>
      </c>
      <c r="R126" s="1">
        <f>SUM(Table13[[#This Row],[representative]:[adjust]])</f>
        <v>1</v>
      </c>
    </row>
    <row r="127" spans="1:18" x14ac:dyDescent="0.25">
      <c r="A127" s="1" t="s">
        <v>757</v>
      </c>
      <c r="B127" s="1" t="s">
        <v>758</v>
      </c>
      <c r="C127" s="1" t="s">
        <v>759</v>
      </c>
      <c r="D127" s="1">
        <v>2017</v>
      </c>
      <c r="E127" s="1" t="s">
        <v>21</v>
      </c>
      <c r="F127" s="1" t="s">
        <v>20</v>
      </c>
      <c r="G127" s="1" t="s">
        <v>1522</v>
      </c>
      <c r="H127" s="1" t="s">
        <v>39</v>
      </c>
      <c r="I127" s="1" t="s">
        <v>783</v>
      </c>
      <c r="J127" s="1" t="s">
        <v>762</v>
      </c>
      <c r="K127" s="1" t="s">
        <v>14</v>
      </c>
      <c r="L127" s="1" t="s">
        <v>53</v>
      </c>
      <c r="M127" s="1" t="s">
        <v>780</v>
      </c>
      <c r="N127" s="1" t="s">
        <v>35</v>
      </c>
      <c r="O127" s="1">
        <v>0</v>
      </c>
      <c r="P127" s="1">
        <f>IF(Table13[[#This Row],[design]]="Cross-sectional",0,1)</f>
        <v>0</v>
      </c>
      <c r="Q127" s="1">
        <f>IF(Table13[[#This Row],[adj]]="Adjusted",1,0)</f>
        <v>1</v>
      </c>
      <c r="R127" s="1">
        <f>SUM(Table13[[#This Row],[representative]:[adjust]])</f>
        <v>1</v>
      </c>
    </row>
    <row r="128" spans="1:18" x14ac:dyDescent="0.25">
      <c r="A128" s="1" t="s">
        <v>790</v>
      </c>
      <c r="B128" s="1" t="s">
        <v>791</v>
      </c>
      <c r="C128" s="1" t="s">
        <v>792</v>
      </c>
      <c r="D128" s="1">
        <v>2020</v>
      </c>
      <c r="E128" s="1" t="s">
        <v>21</v>
      </c>
      <c r="F128" s="1" t="s">
        <v>20</v>
      </c>
      <c r="G128" s="1" t="s">
        <v>18</v>
      </c>
      <c r="H128" s="1" t="s">
        <v>11</v>
      </c>
      <c r="I128" s="1" t="s">
        <v>541</v>
      </c>
      <c r="J128" s="1" t="s">
        <v>541</v>
      </c>
      <c r="K128" s="1" t="s">
        <v>41</v>
      </c>
      <c r="L128" s="1" t="s">
        <v>53</v>
      </c>
      <c r="M128" s="1" t="s">
        <v>8</v>
      </c>
      <c r="N128" s="1" t="s">
        <v>35</v>
      </c>
      <c r="O128" s="1">
        <v>1</v>
      </c>
      <c r="P128" s="1">
        <f>IF(Table13[[#This Row],[design]]="Cross-sectional",0,1)</f>
        <v>0</v>
      </c>
      <c r="Q128" s="1">
        <f>IF(Table13[[#This Row],[adj]]="Adjusted",1,0)</f>
        <v>1</v>
      </c>
      <c r="R128" s="1">
        <f>SUM(Table13[[#This Row],[representative]:[adjust]])</f>
        <v>2</v>
      </c>
    </row>
    <row r="129" spans="1:86" s="14" customFormat="1" x14ac:dyDescent="0.25">
      <c r="A129" s="1" t="s">
        <v>1515</v>
      </c>
      <c r="B129" s="1" t="s">
        <v>1500</v>
      </c>
      <c r="C129" s="1" t="s">
        <v>798</v>
      </c>
      <c r="D129" s="1">
        <v>2018</v>
      </c>
      <c r="E129" s="1" t="s">
        <v>21</v>
      </c>
      <c r="F129" s="1" t="s">
        <v>20</v>
      </c>
      <c r="G129" s="1" t="s">
        <v>942</v>
      </c>
      <c r="H129" s="1" t="s">
        <v>11</v>
      </c>
      <c r="I129" s="1" t="s">
        <v>1508</v>
      </c>
      <c r="J129" s="1" t="s">
        <v>541</v>
      </c>
      <c r="K129" s="1" t="s">
        <v>9</v>
      </c>
      <c r="L129" s="1" t="s">
        <v>9</v>
      </c>
      <c r="M129" s="1" t="s">
        <v>8</v>
      </c>
      <c r="N129" s="1" t="s">
        <v>35</v>
      </c>
      <c r="O129" s="1">
        <v>1</v>
      </c>
      <c r="P129" s="1">
        <f>IF(Table13[[#This Row],[design]]="Cross-sectional",0,1)</f>
        <v>0</v>
      </c>
      <c r="Q129" s="1">
        <f>IF(Table13[[#This Row],[adj]]="Adjusted",1,0)</f>
        <v>1</v>
      </c>
      <c r="R129" s="1">
        <f>SUM(Table13[[#This Row],[representative]:[adjust]])</f>
        <v>2</v>
      </c>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row>
    <row r="130" spans="1:86" s="14" customFormat="1" x14ac:dyDescent="0.25">
      <c r="A130" s="1" t="s">
        <v>1515</v>
      </c>
      <c r="B130" s="1" t="s">
        <v>1500</v>
      </c>
      <c r="C130" s="1" t="s">
        <v>798</v>
      </c>
      <c r="D130" s="1">
        <v>2018</v>
      </c>
      <c r="E130" s="1" t="s">
        <v>21</v>
      </c>
      <c r="F130" s="1" t="s">
        <v>20</v>
      </c>
      <c r="G130" s="1" t="s">
        <v>942</v>
      </c>
      <c r="H130" s="1" t="s">
        <v>11</v>
      </c>
      <c r="I130" s="1" t="s">
        <v>1508</v>
      </c>
      <c r="J130" s="1" t="s">
        <v>541</v>
      </c>
      <c r="K130" s="1" t="s">
        <v>9</v>
      </c>
      <c r="L130" s="1" t="s">
        <v>9</v>
      </c>
      <c r="M130" s="1" t="s">
        <v>8</v>
      </c>
      <c r="N130" s="1" t="s">
        <v>35</v>
      </c>
      <c r="O130" s="1">
        <v>1</v>
      </c>
      <c r="P130" s="1">
        <f>IF(Table13[[#This Row],[design]]="Cross-sectional",0,1)</f>
        <v>0</v>
      </c>
      <c r="Q130" s="1">
        <f>IF(Table13[[#This Row],[adj]]="Adjusted",1,0)</f>
        <v>1</v>
      </c>
      <c r="R130" s="1">
        <f>SUM(Table13[[#This Row],[representative]:[adjust]])</f>
        <v>2</v>
      </c>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row>
    <row r="131" spans="1:86" s="14" customFormat="1" x14ac:dyDescent="0.25">
      <c r="A131" s="1" t="s">
        <v>1515</v>
      </c>
      <c r="B131" s="1" t="s">
        <v>1500</v>
      </c>
      <c r="C131" s="1" t="s">
        <v>798</v>
      </c>
      <c r="D131" s="1">
        <v>2018</v>
      </c>
      <c r="E131" s="1" t="s">
        <v>21</v>
      </c>
      <c r="F131" s="1" t="s">
        <v>20</v>
      </c>
      <c r="G131" s="1" t="s">
        <v>942</v>
      </c>
      <c r="H131" s="1" t="s">
        <v>80</v>
      </c>
      <c r="I131" s="1" t="s">
        <v>1507</v>
      </c>
      <c r="J131" s="1" t="s">
        <v>1509</v>
      </c>
      <c r="K131" s="1" t="s">
        <v>9</v>
      </c>
      <c r="L131" s="1" t="s">
        <v>9</v>
      </c>
      <c r="M131" s="1" t="s">
        <v>780</v>
      </c>
      <c r="N131" s="1" t="s">
        <v>35</v>
      </c>
      <c r="O131" s="1">
        <v>1</v>
      </c>
      <c r="P131" s="1">
        <f>IF(Table13[[#This Row],[design]]="Cross-sectional",0,1)</f>
        <v>0</v>
      </c>
      <c r="Q131" s="1">
        <f>IF(Table13[[#This Row],[adj]]="Adjusted",1,0)</f>
        <v>1</v>
      </c>
      <c r="R131" s="1">
        <f>SUM(Table13[[#This Row],[representative]:[adjust]])</f>
        <v>2</v>
      </c>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row>
    <row r="132" spans="1:86" s="14" customFormat="1" x14ac:dyDescent="0.25">
      <c r="A132" s="1" t="s">
        <v>1515</v>
      </c>
      <c r="B132" s="1" t="s">
        <v>1500</v>
      </c>
      <c r="C132" s="1" t="s">
        <v>798</v>
      </c>
      <c r="D132" s="1">
        <v>2018</v>
      </c>
      <c r="E132" s="1" t="s">
        <v>21</v>
      </c>
      <c r="F132" s="1" t="s">
        <v>20</v>
      </c>
      <c r="G132" s="1" t="s">
        <v>942</v>
      </c>
      <c r="H132" s="1" t="s">
        <v>80</v>
      </c>
      <c r="I132" s="1" t="s">
        <v>1507</v>
      </c>
      <c r="J132" s="1" t="s">
        <v>1509</v>
      </c>
      <c r="K132" s="1" t="s">
        <v>9</v>
      </c>
      <c r="L132" s="1" t="s">
        <v>9</v>
      </c>
      <c r="M132" s="1" t="s">
        <v>780</v>
      </c>
      <c r="N132" s="1" t="s">
        <v>35</v>
      </c>
      <c r="O132" s="1">
        <v>1</v>
      </c>
      <c r="P132" s="1">
        <f>IF(Table13[[#This Row],[design]]="Cross-sectional",0,1)</f>
        <v>0</v>
      </c>
      <c r="Q132" s="1">
        <f>IF(Table13[[#This Row],[adj]]="Adjusted",1,0)</f>
        <v>1</v>
      </c>
      <c r="R132" s="1">
        <f>SUM(Table13[[#This Row],[representative]:[adjust]])</f>
        <v>2</v>
      </c>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row>
    <row r="133" spans="1:86" s="14" customFormat="1" x14ac:dyDescent="0.25">
      <c r="A133" s="1" t="s">
        <v>1515</v>
      </c>
      <c r="B133" s="1" t="s">
        <v>1500</v>
      </c>
      <c r="C133" s="1" t="s">
        <v>798</v>
      </c>
      <c r="D133" s="1">
        <v>2018</v>
      </c>
      <c r="E133" s="1" t="s">
        <v>21</v>
      </c>
      <c r="F133" s="1" t="s">
        <v>20</v>
      </c>
      <c r="G133" s="1" t="s">
        <v>942</v>
      </c>
      <c r="H133" s="1" t="s">
        <v>39</v>
      </c>
      <c r="I133" s="1" t="s">
        <v>1510</v>
      </c>
      <c r="J133" s="1" t="s">
        <v>1510</v>
      </c>
      <c r="K133" s="1" t="s">
        <v>9</v>
      </c>
      <c r="L133" s="1" t="s">
        <v>9</v>
      </c>
      <c r="M133" s="1" t="s">
        <v>8</v>
      </c>
      <c r="N133" s="1" t="s">
        <v>35</v>
      </c>
      <c r="O133" s="1">
        <v>1</v>
      </c>
      <c r="P133" s="1">
        <f>IF(Table13[[#This Row],[design]]="Cross-sectional",0,1)</f>
        <v>0</v>
      </c>
      <c r="Q133" s="1">
        <f>IF(Table13[[#This Row],[adj]]="Adjusted",1,0)</f>
        <v>1</v>
      </c>
      <c r="R133" s="1">
        <f>SUM(Table13[[#This Row],[representative]:[adjust]])</f>
        <v>2</v>
      </c>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row>
    <row r="134" spans="1:86" s="14" customFormat="1" x14ac:dyDescent="0.25">
      <c r="A134" s="1" t="s">
        <v>1515</v>
      </c>
      <c r="B134" s="1" t="s">
        <v>1500</v>
      </c>
      <c r="C134" s="1" t="s">
        <v>798</v>
      </c>
      <c r="D134" s="1">
        <v>2018</v>
      </c>
      <c r="E134" s="1" t="s">
        <v>21</v>
      </c>
      <c r="F134" s="1" t="s">
        <v>20</v>
      </c>
      <c r="G134" s="1" t="s">
        <v>942</v>
      </c>
      <c r="H134" s="1" t="s">
        <v>39</v>
      </c>
      <c r="I134" s="1" t="s">
        <v>1510</v>
      </c>
      <c r="J134" s="1" t="s">
        <v>1510</v>
      </c>
      <c r="K134" s="1" t="s">
        <v>9</v>
      </c>
      <c r="L134" s="1" t="s">
        <v>9</v>
      </c>
      <c r="M134" s="1" t="s">
        <v>8</v>
      </c>
      <c r="N134" s="1" t="s">
        <v>35</v>
      </c>
      <c r="O134" s="1">
        <v>1</v>
      </c>
      <c r="P134" s="1">
        <f>IF(Table13[[#This Row],[design]]="Cross-sectional",0,1)</f>
        <v>0</v>
      </c>
      <c r="Q134" s="1">
        <f>IF(Table13[[#This Row],[adj]]="Adjusted",1,0)</f>
        <v>1</v>
      </c>
      <c r="R134" s="1">
        <f>SUM(Table13[[#This Row],[representative]:[adjust]])</f>
        <v>2</v>
      </c>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row>
    <row r="135" spans="1:86" s="14" customFormat="1" x14ac:dyDescent="0.25">
      <c r="A135" s="1" t="s">
        <v>1515</v>
      </c>
      <c r="B135" s="1" t="s">
        <v>1500</v>
      </c>
      <c r="C135" s="1" t="s">
        <v>798</v>
      </c>
      <c r="D135" s="1">
        <v>2018</v>
      </c>
      <c r="E135" s="1" t="s">
        <v>21</v>
      </c>
      <c r="F135" s="1" t="s">
        <v>20</v>
      </c>
      <c r="G135" s="1" t="s">
        <v>942</v>
      </c>
      <c r="H135" s="1" t="s">
        <v>80</v>
      </c>
      <c r="I135" s="1" t="s">
        <v>928</v>
      </c>
      <c r="J135" s="1" t="s">
        <v>929</v>
      </c>
      <c r="K135" s="1" t="s">
        <v>9</v>
      </c>
      <c r="L135" s="1" t="s">
        <v>9</v>
      </c>
      <c r="M135" s="1" t="s">
        <v>74</v>
      </c>
      <c r="N135" s="1" t="s">
        <v>35</v>
      </c>
      <c r="O135" s="1">
        <v>1</v>
      </c>
      <c r="P135" s="1">
        <f>IF(Table13[[#This Row],[design]]="Cross-sectional",0,1)</f>
        <v>0</v>
      </c>
      <c r="Q135" s="1">
        <f>IF(Table13[[#This Row],[adj]]="Adjusted",1,0)</f>
        <v>1</v>
      </c>
      <c r="R135" s="1">
        <f>SUM(Table13[[#This Row],[representative]:[adjust]])</f>
        <v>2</v>
      </c>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row>
    <row r="136" spans="1:86" s="14" customFormat="1" x14ac:dyDescent="0.25">
      <c r="A136" s="1" t="s">
        <v>1515</v>
      </c>
      <c r="B136" s="1" t="s">
        <v>1500</v>
      </c>
      <c r="C136" s="1" t="s">
        <v>798</v>
      </c>
      <c r="D136" s="1">
        <v>2018</v>
      </c>
      <c r="E136" s="1" t="s">
        <v>21</v>
      </c>
      <c r="F136" s="1" t="s">
        <v>20</v>
      </c>
      <c r="G136" s="1" t="s">
        <v>942</v>
      </c>
      <c r="H136" s="1" t="s">
        <v>80</v>
      </c>
      <c r="I136" s="1" t="s">
        <v>928</v>
      </c>
      <c r="J136" s="1" t="s">
        <v>929</v>
      </c>
      <c r="K136" s="1" t="s">
        <v>9</v>
      </c>
      <c r="L136" s="1" t="s">
        <v>9</v>
      </c>
      <c r="M136" s="1" t="s">
        <v>74</v>
      </c>
      <c r="N136" s="1" t="s">
        <v>35</v>
      </c>
      <c r="O136" s="1">
        <v>1</v>
      </c>
      <c r="P136" s="1">
        <f>IF(Table13[[#This Row],[design]]="Cross-sectional",0,1)</f>
        <v>0</v>
      </c>
      <c r="Q136" s="1">
        <f>IF(Table13[[#This Row],[adj]]="Adjusted",1,0)</f>
        <v>1</v>
      </c>
      <c r="R136" s="1">
        <f>SUM(Table13[[#This Row],[representative]:[adjust]])</f>
        <v>2</v>
      </c>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row>
    <row r="137" spans="1:86" x14ac:dyDescent="0.25">
      <c r="A137" s="1" t="s">
        <v>799</v>
      </c>
      <c r="B137" s="1" t="s">
        <v>800</v>
      </c>
      <c r="C137" s="1" t="s">
        <v>801</v>
      </c>
      <c r="D137" s="1">
        <v>2022</v>
      </c>
      <c r="E137" s="1" t="s">
        <v>21</v>
      </c>
      <c r="F137" s="1" t="s">
        <v>20</v>
      </c>
      <c r="G137" s="1" t="s">
        <v>148</v>
      </c>
      <c r="H137" s="1" t="s">
        <v>513</v>
      </c>
      <c r="I137" s="1" t="s">
        <v>805</v>
      </c>
      <c r="J137" s="1" t="s">
        <v>805</v>
      </c>
      <c r="K137" s="1" t="s">
        <v>67</v>
      </c>
      <c r="L137" s="1" t="s">
        <v>53</v>
      </c>
      <c r="M137" s="1" t="s">
        <v>74</v>
      </c>
      <c r="N137" s="1" t="s">
        <v>35</v>
      </c>
      <c r="O137" s="1">
        <v>0</v>
      </c>
      <c r="P137" s="1">
        <f>IF(Table13[[#This Row],[design]]="Cross-sectional",0,1)</f>
        <v>0</v>
      </c>
      <c r="Q137" s="1">
        <f>IF(Table13[[#This Row],[adj]]="Adjusted",1,0)</f>
        <v>1</v>
      </c>
      <c r="R137" s="1">
        <f>SUM(Table13[[#This Row],[representative]:[adjust]])</f>
        <v>1</v>
      </c>
    </row>
    <row r="138" spans="1:86" x14ac:dyDescent="0.25">
      <c r="A138" s="1" t="s">
        <v>799</v>
      </c>
      <c r="B138" s="1" t="s">
        <v>800</v>
      </c>
      <c r="C138" s="1" t="s">
        <v>801</v>
      </c>
      <c r="D138" s="1">
        <v>2022</v>
      </c>
      <c r="E138" s="1" t="s">
        <v>21</v>
      </c>
      <c r="F138" s="1" t="s">
        <v>20</v>
      </c>
      <c r="G138" s="1" t="s">
        <v>148</v>
      </c>
      <c r="H138" s="1" t="s">
        <v>513</v>
      </c>
      <c r="I138" s="1" t="s">
        <v>810</v>
      </c>
      <c r="J138" s="1" t="s">
        <v>810</v>
      </c>
      <c r="K138" s="1" t="s">
        <v>67</v>
      </c>
      <c r="L138" s="1" t="s">
        <v>53</v>
      </c>
      <c r="M138" s="1" t="s">
        <v>74</v>
      </c>
      <c r="N138" s="1" t="s">
        <v>35</v>
      </c>
      <c r="O138" s="1">
        <v>0</v>
      </c>
      <c r="P138" s="1">
        <f>IF(Table13[[#This Row],[design]]="Cross-sectional",0,1)</f>
        <v>0</v>
      </c>
      <c r="Q138" s="1">
        <f>IF(Table13[[#This Row],[adj]]="Adjusted",1,0)</f>
        <v>1</v>
      </c>
      <c r="R138" s="1">
        <f>SUM(Table13[[#This Row],[representative]:[adjust]])</f>
        <v>1</v>
      </c>
    </row>
    <row r="139" spans="1:86" x14ac:dyDescent="0.25">
      <c r="A139" s="1" t="s">
        <v>814</v>
      </c>
      <c r="B139" s="1" t="s">
        <v>815</v>
      </c>
      <c r="C139" s="1" t="s">
        <v>816</v>
      </c>
      <c r="D139" s="1">
        <v>2024</v>
      </c>
      <c r="E139" s="1" t="s">
        <v>21</v>
      </c>
      <c r="F139" s="1" t="s">
        <v>386</v>
      </c>
      <c r="G139" s="1" t="s">
        <v>18</v>
      </c>
      <c r="H139" s="1" t="s">
        <v>11</v>
      </c>
      <c r="I139" s="1" t="s">
        <v>541</v>
      </c>
      <c r="J139" s="1" t="s">
        <v>541</v>
      </c>
      <c r="K139" s="1" t="s">
        <v>41</v>
      </c>
      <c r="L139" s="1" t="s">
        <v>53</v>
      </c>
      <c r="M139" s="1" t="s">
        <v>8</v>
      </c>
      <c r="N139" s="1" t="s">
        <v>35</v>
      </c>
      <c r="O139" s="1">
        <v>1</v>
      </c>
      <c r="P139" s="1">
        <f>IF(Table13[[#This Row],[design]]="Cross-sectional",0,1)</f>
        <v>0</v>
      </c>
      <c r="Q139" s="1">
        <f>IF(Table13[[#This Row],[adj]]="Adjusted",1,0)</f>
        <v>1</v>
      </c>
      <c r="R139" s="1">
        <f>SUM(Table13[[#This Row],[representative]:[adjust]])</f>
        <v>2</v>
      </c>
    </row>
    <row r="140" spans="1:86" x14ac:dyDescent="0.25">
      <c r="A140" s="1" t="s">
        <v>821</v>
      </c>
      <c r="B140" s="1" t="s">
        <v>822</v>
      </c>
      <c r="C140" s="1" t="s">
        <v>823</v>
      </c>
      <c r="D140" s="1">
        <v>2022</v>
      </c>
      <c r="E140" s="1" t="s">
        <v>21</v>
      </c>
      <c r="F140" s="1" t="s">
        <v>20</v>
      </c>
      <c r="G140" s="1" t="s">
        <v>278</v>
      </c>
      <c r="H140" s="1" t="s">
        <v>11</v>
      </c>
      <c r="I140" s="1" t="s">
        <v>826</v>
      </c>
      <c r="J140" s="1" t="s">
        <v>541</v>
      </c>
      <c r="K140" s="1" t="s">
        <v>9</v>
      </c>
      <c r="L140" s="1" t="s">
        <v>9</v>
      </c>
      <c r="M140" s="1" t="s">
        <v>8</v>
      </c>
      <c r="N140" s="1" t="s">
        <v>2</v>
      </c>
      <c r="O140" s="1">
        <v>1</v>
      </c>
      <c r="P140" s="1">
        <f>IF(Table13[[#This Row],[design]]="Cross-sectional",0,1)</f>
        <v>0</v>
      </c>
      <c r="Q140" s="1">
        <f>IF(Table13[[#This Row],[adj]]="Adjusted",1,0)</f>
        <v>0</v>
      </c>
      <c r="R140" s="1">
        <f>SUM(Table13[[#This Row],[representative]:[adjust]])</f>
        <v>1</v>
      </c>
    </row>
    <row r="141" spans="1:86" x14ac:dyDescent="0.25">
      <c r="A141" s="1" t="s">
        <v>821</v>
      </c>
      <c r="B141" s="1" t="s">
        <v>822</v>
      </c>
      <c r="C141" s="1" t="s">
        <v>823</v>
      </c>
      <c r="D141" s="1">
        <v>2022</v>
      </c>
      <c r="E141" s="1" t="s">
        <v>21</v>
      </c>
      <c r="F141" s="1" t="s">
        <v>20</v>
      </c>
      <c r="G141" s="1" t="s">
        <v>278</v>
      </c>
      <c r="H141" s="1" t="s">
        <v>80</v>
      </c>
      <c r="I141" s="1" t="s">
        <v>831</v>
      </c>
      <c r="J141" s="1" t="s">
        <v>80</v>
      </c>
      <c r="K141" s="1" t="s">
        <v>9</v>
      </c>
      <c r="L141" s="1" t="s">
        <v>9</v>
      </c>
      <c r="M141" s="1" t="s">
        <v>160</v>
      </c>
      <c r="N141" s="1" t="s">
        <v>2</v>
      </c>
      <c r="O141" s="1">
        <v>1</v>
      </c>
      <c r="P141" s="1">
        <f>IF(Table13[[#This Row],[design]]="Cross-sectional",0,1)</f>
        <v>0</v>
      </c>
      <c r="Q141" s="1">
        <f>IF(Table13[[#This Row],[adj]]="Adjusted",1,0)</f>
        <v>0</v>
      </c>
      <c r="R141" s="1">
        <f>SUM(Table13[[#This Row],[representative]:[adjust]])</f>
        <v>1</v>
      </c>
    </row>
    <row r="142" spans="1:86" x14ac:dyDescent="0.25">
      <c r="A142" s="1" t="s">
        <v>834</v>
      </c>
      <c r="B142" s="1" t="s">
        <v>835</v>
      </c>
      <c r="C142" s="1" t="s">
        <v>836</v>
      </c>
      <c r="D142" s="1">
        <v>2017</v>
      </c>
      <c r="E142" s="1" t="s">
        <v>21</v>
      </c>
      <c r="F142" s="1" t="s">
        <v>118</v>
      </c>
      <c r="G142" s="1" t="s">
        <v>260</v>
      </c>
      <c r="H142" s="1" t="s">
        <v>39</v>
      </c>
      <c r="I142" s="1" t="s">
        <v>840</v>
      </c>
      <c r="J142" s="1" t="s">
        <v>841</v>
      </c>
      <c r="K142" s="1" t="s">
        <v>9</v>
      </c>
      <c r="L142" s="1" t="s">
        <v>9</v>
      </c>
      <c r="M142" s="1" t="s">
        <v>8</v>
      </c>
      <c r="N142" s="1" t="s">
        <v>2</v>
      </c>
      <c r="O142" s="1">
        <v>1</v>
      </c>
      <c r="P142" s="1">
        <f>IF(Table13[[#This Row],[design]]="Cross-sectional",0,1)</f>
        <v>0</v>
      </c>
      <c r="Q142" s="1">
        <f>IF(Table13[[#This Row],[adj]]="Adjusted",1,0)</f>
        <v>0</v>
      </c>
      <c r="R142" s="1">
        <f>SUM(Table13[[#This Row],[representative]:[adjust]])</f>
        <v>1</v>
      </c>
    </row>
    <row r="143" spans="1:86" x14ac:dyDescent="0.25">
      <c r="A143" s="1" t="s">
        <v>845</v>
      </c>
      <c r="B143" s="1" t="s">
        <v>846</v>
      </c>
      <c r="C143" s="1" t="s">
        <v>836</v>
      </c>
      <c r="D143" s="1">
        <v>2019</v>
      </c>
      <c r="E143" s="1" t="s">
        <v>21</v>
      </c>
      <c r="F143" s="1" t="s">
        <v>118</v>
      </c>
      <c r="G143" s="1" t="s">
        <v>260</v>
      </c>
      <c r="H143" s="1" t="s">
        <v>80</v>
      </c>
      <c r="I143" s="1" t="s">
        <v>80</v>
      </c>
      <c r="J143" s="1" t="s">
        <v>80</v>
      </c>
      <c r="K143" s="1" t="s">
        <v>9</v>
      </c>
      <c r="L143" s="1" t="s">
        <v>9</v>
      </c>
      <c r="M143" s="1" t="s">
        <v>8</v>
      </c>
      <c r="N143" s="1" t="s">
        <v>2</v>
      </c>
      <c r="O143" s="1">
        <v>1</v>
      </c>
      <c r="P143" s="1">
        <f>IF(Table13[[#This Row],[design]]="Cross-sectional",0,1)</f>
        <v>0</v>
      </c>
      <c r="Q143" s="1">
        <f>IF(Table13[[#This Row],[adj]]="Adjusted",1,0)</f>
        <v>0</v>
      </c>
      <c r="R143" s="1">
        <f>SUM(Table13[[#This Row],[representative]:[adjust]])</f>
        <v>1</v>
      </c>
    </row>
    <row r="144" spans="1:86" x14ac:dyDescent="0.25">
      <c r="A144" s="1" t="s">
        <v>845</v>
      </c>
      <c r="B144" s="1" t="s">
        <v>846</v>
      </c>
      <c r="C144" s="1" t="s">
        <v>836</v>
      </c>
      <c r="D144" s="1">
        <v>2019</v>
      </c>
      <c r="E144" s="1" t="s">
        <v>21</v>
      </c>
      <c r="F144" s="1" t="s">
        <v>118</v>
      </c>
      <c r="G144" s="1" t="s">
        <v>260</v>
      </c>
      <c r="H144" s="1" t="s">
        <v>11</v>
      </c>
      <c r="I144" s="1" t="s">
        <v>11</v>
      </c>
      <c r="J144" s="1" t="s">
        <v>11</v>
      </c>
      <c r="K144" s="1" t="s">
        <v>9</v>
      </c>
      <c r="L144" s="1" t="s">
        <v>9</v>
      </c>
      <c r="M144" s="1" t="s">
        <v>8</v>
      </c>
      <c r="N144" s="1" t="s">
        <v>2</v>
      </c>
      <c r="O144" s="1">
        <v>1</v>
      </c>
      <c r="P144" s="1">
        <f>IF(Table13[[#This Row],[design]]="Cross-sectional",0,1)</f>
        <v>0</v>
      </c>
      <c r="Q144" s="1">
        <f>IF(Table13[[#This Row],[adj]]="Adjusted",1,0)</f>
        <v>0</v>
      </c>
      <c r="R144" s="1">
        <f>SUM(Table13[[#This Row],[representative]:[adjust]])</f>
        <v>1</v>
      </c>
    </row>
    <row r="145" spans="1:18" x14ac:dyDescent="0.25">
      <c r="A145" s="1" t="s">
        <v>854</v>
      </c>
      <c r="B145" s="1" t="s">
        <v>855</v>
      </c>
      <c r="C145" s="1" t="s">
        <v>856</v>
      </c>
      <c r="D145" s="1">
        <v>2023</v>
      </c>
      <c r="E145" s="1" t="s">
        <v>21</v>
      </c>
      <c r="F145" s="1" t="s">
        <v>118</v>
      </c>
      <c r="G145" s="1" t="s">
        <v>260</v>
      </c>
      <c r="H145" s="1" t="s">
        <v>39</v>
      </c>
      <c r="I145" s="1" t="s">
        <v>859</v>
      </c>
      <c r="J145" s="1" t="s">
        <v>860</v>
      </c>
      <c r="K145" s="1" t="s">
        <v>67</v>
      </c>
      <c r="L145" s="1" t="s">
        <v>53</v>
      </c>
      <c r="M145" s="1" t="s">
        <v>160</v>
      </c>
      <c r="N145" s="1" t="s">
        <v>2</v>
      </c>
      <c r="O145" s="1">
        <v>1</v>
      </c>
      <c r="P145" s="1">
        <f>IF(Table13[[#This Row],[design]]="Cross-sectional",0,1)</f>
        <v>0</v>
      </c>
      <c r="Q145" s="1">
        <f>IF(Table13[[#This Row],[adj]]="Adjusted",1,0)</f>
        <v>0</v>
      </c>
      <c r="R145" s="1">
        <f>SUM(Table13[[#This Row],[representative]:[adjust]])</f>
        <v>1</v>
      </c>
    </row>
    <row r="146" spans="1:18" x14ac:dyDescent="0.25">
      <c r="A146" s="1" t="s">
        <v>866</v>
      </c>
      <c r="B146" s="1" t="s">
        <v>867</v>
      </c>
      <c r="C146" s="1" t="s">
        <v>868</v>
      </c>
      <c r="D146" s="1">
        <v>2019</v>
      </c>
      <c r="E146" s="1" t="s">
        <v>21</v>
      </c>
      <c r="F146" s="1" t="s">
        <v>386</v>
      </c>
      <c r="G146" s="1" t="s">
        <v>148</v>
      </c>
      <c r="H146" s="1" t="s">
        <v>80</v>
      </c>
      <c r="I146" s="1" t="s">
        <v>871</v>
      </c>
      <c r="J146" s="1" t="s">
        <v>871</v>
      </c>
      <c r="K146" s="1" t="s">
        <v>67</v>
      </c>
      <c r="L146" s="1" t="s">
        <v>53</v>
      </c>
      <c r="M146" s="1" t="s">
        <v>160</v>
      </c>
      <c r="N146" s="1" t="s">
        <v>2</v>
      </c>
      <c r="O146" s="1">
        <v>0</v>
      </c>
      <c r="P146" s="1">
        <f>IF(Table13[[#This Row],[design]]="Cross-sectional",0,1)</f>
        <v>0</v>
      </c>
      <c r="Q146" s="1">
        <f>IF(Table13[[#This Row],[adj]]="Adjusted",1,0)</f>
        <v>0</v>
      </c>
      <c r="R146" s="1">
        <f>SUM(Table13[[#This Row],[representative]:[adjust]])</f>
        <v>0</v>
      </c>
    </row>
    <row r="147" spans="1:18" x14ac:dyDescent="0.25">
      <c r="A147" s="1" t="s">
        <v>874</v>
      </c>
      <c r="B147" s="1" t="s">
        <v>875</v>
      </c>
      <c r="C147" s="1" t="s">
        <v>876</v>
      </c>
      <c r="D147" s="1">
        <v>2018</v>
      </c>
      <c r="E147" s="1" t="s">
        <v>21</v>
      </c>
      <c r="F147" s="1" t="s">
        <v>386</v>
      </c>
      <c r="G147" s="1" t="s">
        <v>18</v>
      </c>
      <c r="H147" s="1" t="s">
        <v>80</v>
      </c>
      <c r="I147" s="1" t="s">
        <v>865</v>
      </c>
      <c r="J147" s="1" t="s">
        <v>865</v>
      </c>
      <c r="K147" s="1" t="s">
        <v>41</v>
      </c>
      <c r="L147" s="1" t="s">
        <v>53</v>
      </c>
      <c r="M147" s="1" t="s">
        <v>160</v>
      </c>
      <c r="N147" s="1" t="s">
        <v>35</v>
      </c>
      <c r="O147" s="1">
        <v>1</v>
      </c>
      <c r="P147" s="1">
        <f>IF(Table13[[#This Row],[design]]="Cross-sectional",0,1)</f>
        <v>0</v>
      </c>
      <c r="Q147" s="1">
        <f>IF(Table13[[#This Row],[adj]]="Adjusted",1,0)</f>
        <v>1</v>
      </c>
      <c r="R147" s="1">
        <f>SUM(Table13[[#This Row],[representative]:[adjust]])</f>
        <v>2</v>
      </c>
    </row>
    <row r="148" spans="1:18" x14ac:dyDescent="0.25">
      <c r="A148" s="1" t="s">
        <v>874</v>
      </c>
      <c r="B148" s="1" t="s">
        <v>875</v>
      </c>
      <c r="C148" s="1" t="s">
        <v>876</v>
      </c>
      <c r="D148" s="1">
        <v>2018</v>
      </c>
      <c r="E148" s="1" t="s">
        <v>21</v>
      </c>
      <c r="F148" s="1" t="s">
        <v>386</v>
      </c>
      <c r="G148" s="1" t="s">
        <v>18</v>
      </c>
      <c r="H148" s="1" t="s">
        <v>39</v>
      </c>
      <c r="I148" s="1" t="s">
        <v>880</v>
      </c>
      <c r="J148" s="1" t="s">
        <v>880</v>
      </c>
      <c r="K148" s="1" t="s">
        <v>41</v>
      </c>
      <c r="L148" s="1" t="s">
        <v>53</v>
      </c>
      <c r="M148" s="1" t="s">
        <v>160</v>
      </c>
      <c r="N148" s="1" t="s">
        <v>35</v>
      </c>
      <c r="O148" s="1">
        <v>1</v>
      </c>
      <c r="P148" s="1">
        <f>IF(Table13[[#This Row],[design]]="Cross-sectional",0,1)</f>
        <v>0</v>
      </c>
      <c r="Q148" s="1">
        <f>IF(Table13[[#This Row],[adj]]="Adjusted",1,0)</f>
        <v>1</v>
      </c>
      <c r="R148" s="1">
        <f>SUM(Table13[[#This Row],[representative]:[adjust]])</f>
        <v>2</v>
      </c>
    </row>
    <row r="149" spans="1:18" x14ac:dyDescent="0.25">
      <c r="A149" s="1" t="s">
        <v>874</v>
      </c>
      <c r="B149" s="1" t="s">
        <v>875</v>
      </c>
      <c r="C149" s="1" t="s">
        <v>876</v>
      </c>
      <c r="D149" s="1">
        <v>2018</v>
      </c>
      <c r="E149" s="1" t="s">
        <v>21</v>
      </c>
      <c r="F149" s="1" t="s">
        <v>386</v>
      </c>
      <c r="G149" s="1" t="s">
        <v>18</v>
      </c>
      <c r="H149" s="1" t="s">
        <v>11</v>
      </c>
      <c r="I149" s="1" t="s">
        <v>864</v>
      </c>
      <c r="J149" s="1" t="s">
        <v>864</v>
      </c>
      <c r="K149" s="1" t="s">
        <v>41</v>
      </c>
      <c r="L149" s="1" t="s">
        <v>53</v>
      </c>
      <c r="M149" s="1" t="s">
        <v>160</v>
      </c>
      <c r="N149" s="1" t="s">
        <v>35</v>
      </c>
      <c r="O149" s="1">
        <v>1</v>
      </c>
      <c r="P149" s="1">
        <f>IF(Table13[[#This Row],[design]]="Cross-sectional",0,1)</f>
        <v>0</v>
      </c>
      <c r="Q149" s="1">
        <f>IF(Table13[[#This Row],[adj]]="Adjusted",1,0)</f>
        <v>1</v>
      </c>
      <c r="R149" s="1">
        <f>SUM(Table13[[#This Row],[representative]:[adjust]])</f>
        <v>2</v>
      </c>
    </row>
    <row r="150" spans="1:18" x14ac:dyDescent="0.25">
      <c r="A150" s="1" t="s">
        <v>891</v>
      </c>
      <c r="B150" s="1" t="s">
        <v>892</v>
      </c>
      <c r="C150" s="1" t="s">
        <v>893</v>
      </c>
      <c r="D150" s="1">
        <v>2021</v>
      </c>
      <c r="E150" s="1" t="s">
        <v>21</v>
      </c>
      <c r="F150" s="1" t="s">
        <v>20</v>
      </c>
      <c r="G150" s="1" t="s">
        <v>148</v>
      </c>
      <c r="H150" s="1" t="s">
        <v>39</v>
      </c>
      <c r="I150" s="1" t="s">
        <v>898</v>
      </c>
      <c r="J150" s="1" t="s">
        <v>623</v>
      </c>
      <c r="K150" s="1" t="s">
        <v>9</v>
      </c>
      <c r="L150" s="1" t="s">
        <v>9</v>
      </c>
      <c r="M150" s="1" t="s">
        <v>63</v>
      </c>
      <c r="N150" s="1" t="s">
        <v>35</v>
      </c>
      <c r="O150" s="1">
        <v>0</v>
      </c>
      <c r="P150" s="1">
        <f>IF(Table13[[#This Row],[design]]="Cross-sectional",0,1)</f>
        <v>0</v>
      </c>
      <c r="Q150" s="1">
        <f>IF(Table13[[#This Row],[adj]]="Adjusted",1,0)</f>
        <v>1</v>
      </c>
      <c r="R150" s="1">
        <f>SUM(Table13[[#This Row],[representative]:[adjust]])</f>
        <v>1</v>
      </c>
    </row>
    <row r="151" spans="1:18" x14ac:dyDescent="0.25">
      <c r="A151" s="1" t="s">
        <v>902</v>
      </c>
      <c r="B151" s="1" t="s">
        <v>903</v>
      </c>
      <c r="C151" s="1" t="s">
        <v>904</v>
      </c>
      <c r="D151" s="1">
        <v>2013</v>
      </c>
      <c r="E151" s="1" t="s">
        <v>21</v>
      </c>
      <c r="F151" s="1" t="s">
        <v>20</v>
      </c>
      <c r="G151" s="1" t="s">
        <v>148</v>
      </c>
      <c r="H151" s="1" t="s">
        <v>80</v>
      </c>
      <c r="I151" s="1" t="s">
        <v>913</v>
      </c>
      <c r="J151" s="1" t="s">
        <v>914</v>
      </c>
      <c r="K151" s="1" t="s">
        <v>9</v>
      </c>
      <c r="L151" s="1" t="s">
        <v>9</v>
      </c>
      <c r="M151" s="1" t="s">
        <v>8</v>
      </c>
      <c r="N151" s="1" t="s">
        <v>35</v>
      </c>
      <c r="O151" s="1">
        <v>0</v>
      </c>
      <c r="P151" s="1">
        <f>IF(Table13[[#This Row],[design]]="Cross-sectional",0,1)</f>
        <v>0</v>
      </c>
      <c r="Q151" s="1">
        <f>IF(Table13[[#This Row],[adj]]="Adjusted",1,0)</f>
        <v>1</v>
      </c>
      <c r="R151" s="1">
        <f>SUM(Table13[[#This Row],[representative]:[adjust]])</f>
        <v>1</v>
      </c>
    </row>
    <row r="152" spans="1:18" x14ac:dyDescent="0.25">
      <c r="A152" s="1" t="s">
        <v>902</v>
      </c>
      <c r="B152" s="1" t="s">
        <v>903</v>
      </c>
      <c r="C152" s="1" t="s">
        <v>904</v>
      </c>
      <c r="D152" s="1">
        <v>2013</v>
      </c>
      <c r="E152" s="1" t="s">
        <v>21</v>
      </c>
      <c r="F152" s="1" t="s">
        <v>20</v>
      </c>
      <c r="G152" s="1" t="s">
        <v>148</v>
      </c>
      <c r="H152" s="1" t="s">
        <v>11</v>
      </c>
      <c r="I152" s="1" t="s">
        <v>916</v>
      </c>
      <c r="J152" s="1" t="s">
        <v>917</v>
      </c>
      <c r="K152" s="1" t="s">
        <v>9</v>
      </c>
      <c r="L152" s="1" t="s">
        <v>9</v>
      </c>
      <c r="M152" s="1" t="s">
        <v>8</v>
      </c>
      <c r="N152" s="1" t="s">
        <v>35</v>
      </c>
      <c r="O152" s="1">
        <v>0</v>
      </c>
      <c r="P152" s="1">
        <f>IF(Table13[[#This Row],[design]]="Cross-sectional",0,1)</f>
        <v>0</v>
      </c>
      <c r="Q152" s="1">
        <f>IF(Table13[[#This Row],[adj]]="Adjusted",1,0)</f>
        <v>1</v>
      </c>
      <c r="R152" s="1">
        <f>SUM(Table13[[#This Row],[representative]:[adjust]])</f>
        <v>1</v>
      </c>
    </row>
    <row r="153" spans="1:18" x14ac:dyDescent="0.25">
      <c r="A153" s="1" t="s">
        <v>902</v>
      </c>
      <c r="B153" s="1" t="s">
        <v>903</v>
      </c>
      <c r="C153" s="1" t="s">
        <v>904</v>
      </c>
      <c r="D153" s="1">
        <v>2013</v>
      </c>
      <c r="E153" s="1" t="s">
        <v>21</v>
      </c>
      <c r="F153" s="1" t="s">
        <v>20</v>
      </c>
      <c r="G153" s="1" t="s">
        <v>148</v>
      </c>
      <c r="H153" s="1" t="s">
        <v>39</v>
      </c>
      <c r="I153" s="1" t="s">
        <v>922</v>
      </c>
      <c r="J153" s="1" t="s">
        <v>923</v>
      </c>
      <c r="K153" s="1" t="s">
        <v>9</v>
      </c>
      <c r="L153" s="1" t="s">
        <v>9</v>
      </c>
      <c r="M153" s="1" t="s">
        <v>8</v>
      </c>
      <c r="N153" s="1" t="s">
        <v>35</v>
      </c>
      <c r="O153" s="1">
        <v>0</v>
      </c>
      <c r="P153" s="1">
        <f>IF(Table13[[#This Row],[design]]="Cross-sectional",0,1)</f>
        <v>0</v>
      </c>
      <c r="Q153" s="1">
        <f>IF(Table13[[#This Row],[adj]]="Adjusted",1,0)</f>
        <v>1</v>
      </c>
      <c r="R153" s="1">
        <f>SUM(Table13[[#This Row],[representative]:[adjust]])</f>
        <v>1</v>
      </c>
    </row>
    <row r="154" spans="1:18" x14ac:dyDescent="0.25">
      <c r="A154" s="1" t="s">
        <v>902</v>
      </c>
      <c r="B154" s="1" t="s">
        <v>903</v>
      </c>
      <c r="C154" s="1" t="s">
        <v>904</v>
      </c>
      <c r="D154" s="1">
        <v>2013</v>
      </c>
      <c r="E154" s="1" t="s">
        <v>21</v>
      </c>
      <c r="F154" s="1" t="s">
        <v>20</v>
      </c>
      <c r="G154" s="1" t="s">
        <v>148</v>
      </c>
      <c r="H154" s="1" t="s">
        <v>39</v>
      </c>
      <c r="I154" s="1" t="s">
        <v>919</v>
      </c>
      <c r="J154" s="1" t="s">
        <v>920</v>
      </c>
      <c r="K154" s="1" t="s">
        <v>9</v>
      </c>
      <c r="L154" s="1" t="s">
        <v>9</v>
      </c>
      <c r="M154" s="1" t="s">
        <v>8</v>
      </c>
      <c r="N154" s="1" t="s">
        <v>35</v>
      </c>
      <c r="O154" s="1">
        <v>0</v>
      </c>
      <c r="P154" s="1">
        <f>IF(Table13[[#This Row],[design]]="Cross-sectional",0,1)</f>
        <v>0</v>
      </c>
      <c r="Q154" s="1">
        <f>IF(Table13[[#This Row],[adj]]="Adjusted",1,0)</f>
        <v>1</v>
      </c>
      <c r="R154" s="1">
        <f>SUM(Table13[[#This Row],[representative]:[adjust]])</f>
        <v>1</v>
      </c>
    </row>
    <row r="155" spans="1:18" x14ac:dyDescent="0.25">
      <c r="A155" s="1" t="s">
        <v>902</v>
      </c>
      <c r="B155" s="1" t="s">
        <v>903</v>
      </c>
      <c r="C155" s="1" t="s">
        <v>904</v>
      </c>
      <c r="D155" s="1">
        <v>2013</v>
      </c>
      <c r="E155" s="1" t="s">
        <v>21</v>
      </c>
      <c r="F155" s="1" t="s">
        <v>20</v>
      </c>
      <c r="G155" s="1" t="s">
        <v>148</v>
      </c>
      <c r="H155" s="1" t="s">
        <v>39</v>
      </c>
      <c r="I155" s="1" t="s">
        <v>906</v>
      </c>
      <c r="J155" s="1" t="s">
        <v>907</v>
      </c>
      <c r="K155" s="1" t="s">
        <v>9</v>
      </c>
      <c r="L155" s="1" t="s">
        <v>9</v>
      </c>
      <c r="M155" s="1" t="s">
        <v>8</v>
      </c>
      <c r="N155" s="1" t="s">
        <v>35</v>
      </c>
      <c r="O155" s="1">
        <v>0</v>
      </c>
      <c r="P155" s="1">
        <f>IF(Table13[[#This Row],[design]]="Cross-sectional",0,1)</f>
        <v>0</v>
      </c>
      <c r="Q155" s="1">
        <f>IF(Table13[[#This Row],[adj]]="Adjusted",1,0)</f>
        <v>1</v>
      </c>
      <c r="R155" s="1">
        <f>SUM(Table13[[#This Row],[representative]:[adjust]])</f>
        <v>1</v>
      </c>
    </row>
    <row r="156" spans="1:18" x14ac:dyDescent="0.25">
      <c r="A156" s="1" t="s">
        <v>902</v>
      </c>
      <c r="B156" s="1" t="s">
        <v>903</v>
      </c>
      <c r="C156" s="1" t="s">
        <v>904</v>
      </c>
      <c r="D156" s="1">
        <v>2013</v>
      </c>
      <c r="E156" s="1" t="s">
        <v>21</v>
      </c>
      <c r="F156" s="1" t="s">
        <v>20</v>
      </c>
      <c r="G156" s="1" t="s">
        <v>148</v>
      </c>
      <c r="H156" s="1" t="s">
        <v>39</v>
      </c>
      <c r="I156" s="1" t="s">
        <v>925</v>
      </c>
      <c r="J156" s="1" t="s">
        <v>926</v>
      </c>
      <c r="K156" s="1" t="s">
        <v>9</v>
      </c>
      <c r="L156" s="1" t="s">
        <v>9</v>
      </c>
      <c r="M156" s="1" t="s">
        <v>8</v>
      </c>
      <c r="N156" s="1" t="s">
        <v>35</v>
      </c>
      <c r="O156" s="1">
        <v>0</v>
      </c>
      <c r="P156" s="1">
        <f>IF(Table13[[#This Row],[design]]="Cross-sectional",0,1)</f>
        <v>0</v>
      </c>
      <c r="Q156" s="1">
        <f>IF(Table13[[#This Row],[adj]]="Adjusted",1,0)</f>
        <v>1</v>
      </c>
      <c r="R156" s="1">
        <f>SUM(Table13[[#This Row],[representative]:[adjust]])</f>
        <v>1</v>
      </c>
    </row>
    <row r="157" spans="1:18" x14ac:dyDescent="0.25">
      <c r="A157" s="1" t="s">
        <v>902</v>
      </c>
      <c r="B157" s="1" t="s">
        <v>903</v>
      </c>
      <c r="C157" s="1" t="s">
        <v>904</v>
      </c>
      <c r="D157" s="1">
        <v>2013</v>
      </c>
      <c r="E157" s="1" t="s">
        <v>21</v>
      </c>
      <c r="F157" s="1" t="s">
        <v>20</v>
      </c>
      <c r="G157" s="1" t="s">
        <v>148</v>
      </c>
      <c r="H157" s="1" t="s">
        <v>11</v>
      </c>
      <c r="I157" s="1" t="s">
        <v>910</v>
      </c>
      <c r="J157" s="1" t="s">
        <v>910</v>
      </c>
      <c r="K157" s="1" t="s">
        <v>9</v>
      </c>
      <c r="L157" s="1" t="s">
        <v>9</v>
      </c>
      <c r="M157" s="1" t="s">
        <v>8</v>
      </c>
      <c r="N157" s="1" t="s">
        <v>35</v>
      </c>
      <c r="O157" s="1">
        <v>0</v>
      </c>
      <c r="P157" s="1">
        <f>IF(Table13[[#This Row],[design]]="Cross-sectional",0,1)</f>
        <v>0</v>
      </c>
      <c r="Q157" s="1">
        <f>IF(Table13[[#This Row],[adj]]="Adjusted",1,0)</f>
        <v>1</v>
      </c>
      <c r="R157" s="1">
        <f>SUM(Table13[[#This Row],[representative]:[adjust]])</f>
        <v>1</v>
      </c>
    </row>
    <row r="158" spans="1:18" x14ac:dyDescent="0.25">
      <c r="A158" s="1" t="s">
        <v>930</v>
      </c>
      <c r="B158" s="1" t="s">
        <v>931</v>
      </c>
      <c r="C158" s="1" t="s">
        <v>932</v>
      </c>
      <c r="D158" s="1">
        <v>2018</v>
      </c>
      <c r="E158" s="1" t="s">
        <v>21</v>
      </c>
      <c r="F158" s="1" t="s">
        <v>20</v>
      </c>
      <c r="G158" s="1" t="s">
        <v>148</v>
      </c>
      <c r="H158" s="1" t="s">
        <v>39</v>
      </c>
      <c r="I158" s="1" t="s">
        <v>935</v>
      </c>
      <c r="J158" s="1" t="s">
        <v>936</v>
      </c>
      <c r="K158" s="1" t="s">
        <v>14</v>
      </c>
      <c r="L158" s="1" t="s">
        <v>53</v>
      </c>
      <c r="M158" s="1" t="s">
        <v>63</v>
      </c>
      <c r="N158" s="1" t="s">
        <v>2</v>
      </c>
      <c r="O158" s="1">
        <v>0</v>
      </c>
      <c r="P158" s="1">
        <f>IF(Table13[[#This Row],[design]]="Cross-sectional",0,1)</f>
        <v>0</v>
      </c>
      <c r="Q158" s="1">
        <f>IF(Table13[[#This Row],[adj]]="Adjusted",1,0)</f>
        <v>0</v>
      </c>
      <c r="R158" s="1">
        <f>SUM(Table13[[#This Row],[representative]:[adjust]])</f>
        <v>0</v>
      </c>
    </row>
    <row r="159" spans="1:18" x14ac:dyDescent="0.25">
      <c r="A159" s="1" t="s">
        <v>938</v>
      </c>
      <c r="B159" s="1" t="s">
        <v>939</v>
      </c>
      <c r="C159" s="1" t="s">
        <v>940</v>
      </c>
      <c r="D159" s="1">
        <v>2012</v>
      </c>
      <c r="E159" s="1" t="s">
        <v>21</v>
      </c>
      <c r="F159" s="1" t="s">
        <v>20</v>
      </c>
      <c r="G159" s="1" t="s">
        <v>942</v>
      </c>
      <c r="H159" s="1" t="s">
        <v>39</v>
      </c>
      <c r="I159" s="1" t="s">
        <v>943</v>
      </c>
      <c r="J159" s="1" t="s">
        <v>944</v>
      </c>
      <c r="K159" s="1" t="s">
        <v>41</v>
      </c>
      <c r="L159" s="1" t="s">
        <v>53</v>
      </c>
      <c r="M159" s="1" t="s">
        <v>8</v>
      </c>
      <c r="N159" s="1" t="s">
        <v>35</v>
      </c>
      <c r="O159" s="1">
        <v>1</v>
      </c>
      <c r="P159" s="1">
        <f>IF(Table13[[#This Row],[design]]="Cross-sectional",0,1)</f>
        <v>0</v>
      </c>
      <c r="Q159" s="1">
        <f>IF(Table13[[#This Row],[adj]]="Adjusted",1,0)</f>
        <v>1</v>
      </c>
      <c r="R159" s="1">
        <f>SUM(Table13[[#This Row],[representative]:[adjust]])</f>
        <v>2</v>
      </c>
    </row>
    <row r="160" spans="1:18" x14ac:dyDescent="0.25">
      <c r="A160" s="1" t="s">
        <v>949</v>
      </c>
      <c r="B160" s="1" t="s">
        <v>950</v>
      </c>
      <c r="C160" s="1" t="s">
        <v>951</v>
      </c>
      <c r="D160" s="1">
        <v>2022</v>
      </c>
      <c r="E160" s="1" t="s">
        <v>21</v>
      </c>
      <c r="F160" s="1" t="s">
        <v>20</v>
      </c>
      <c r="G160" s="1" t="s">
        <v>18</v>
      </c>
      <c r="H160" s="1" t="s">
        <v>80</v>
      </c>
      <c r="I160" s="1" t="s">
        <v>959</v>
      </c>
      <c r="J160" s="1" t="s">
        <v>960</v>
      </c>
      <c r="K160" s="1" t="s">
        <v>41</v>
      </c>
      <c r="L160" s="1" t="s">
        <v>53</v>
      </c>
      <c r="M160" s="1" t="s">
        <v>63</v>
      </c>
      <c r="N160" s="1" t="s">
        <v>2</v>
      </c>
      <c r="O160" s="1">
        <v>1</v>
      </c>
      <c r="P160" s="1">
        <f>IF(Table13[[#This Row],[design]]="Cross-sectional",0,1)</f>
        <v>0</v>
      </c>
      <c r="Q160" s="1">
        <f>IF(Table13[[#This Row],[adj]]="Adjusted",1,0)</f>
        <v>0</v>
      </c>
      <c r="R160" s="1">
        <f>SUM(Table13[[#This Row],[representative]:[adjust]])</f>
        <v>1</v>
      </c>
    </row>
    <row r="161" spans="1:18" x14ac:dyDescent="0.25">
      <c r="A161" s="1" t="s">
        <v>949</v>
      </c>
      <c r="B161" s="1" t="s">
        <v>950</v>
      </c>
      <c r="C161" s="1" t="s">
        <v>951</v>
      </c>
      <c r="D161" s="1">
        <v>2022</v>
      </c>
      <c r="E161" s="1" t="s">
        <v>21</v>
      </c>
      <c r="F161" s="1" t="s">
        <v>20</v>
      </c>
      <c r="G161" s="1" t="s">
        <v>18</v>
      </c>
      <c r="H161" s="1" t="s">
        <v>80</v>
      </c>
      <c r="I161" s="1" t="s">
        <v>962</v>
      </c>
      <c r="J161" s="1" t="s">
        <v>960</v>
      </c>
      <c r="K161" s="1" t="s">
        <v>41</v>
      </c>
      <c r="L161" s="1" t="s">
        <v>53</v>
      </c>
      <c r="M161" s="1" t="s">
        <v>160</v>
      </c>
      <c r="N161" s="1" t="s">
        <v>35</v>
      </c>
      <c r="O161" s="1">
        <v>1</v>
      </c>
      <c r="P161" s="1">
        <f>IF(Table13[[#This Row],[design]]="Cross-sectional",0,1)</f>
        <v>0</v>
      </c>
      <c r="Q161" s="1">
        <f>IF(Table13[[#This Row],[adj]]="Adjusted",1,0)</f>
        <v>1</v>
      </c>
      <c r="R161" s="1">
        <f>SUM(Table13[[#This Row],[representative]:[adjust]])</f>
        <v>2</v>
      </c>
    </row>
    <row r="162" spans="1:18" x14ac:dyDescent="0.25">
      <c r="A162" s="1" t="s">
        <v>949</v>
      </c>
      <c r="B162" s="1" t="s">
        <v>950</v>
      </c>
      <c r="C162" s="1" t="s">
        <v>951</v>
      </c>
      <c r="D162" s="1">
        <v>2022</v>
      </c>
      <c r="E162" s="1" t="s">
        <v>21</v>
      </c>
      <c r="F162" s="1" t="s">
        <v>20</v>
      </c>
      <c r="G162" s="1" t="s">
        <v>18</v>
      </c>
      <c r="H162" s="1" t="s">
        <v>11</v>
      </c>
      <c r="I162" s="1" t="s">
        <v>955</v>
      </c>
      <c r="J162" s="1" t="s">
        <v>956</v>
      </c>
      <c r="K162" s="1" t="s">
        <v>41</v>
      </c>
      <c r="L162" s="1" t="s">
        <v>53</v>
      </c>
      <c r="M162" s="1" t="s">
        <v>8</v>
      </c>
      <c r="N162" s="1" t="s">
        <v>2</v>
      </c>
      <c r="O162" s="1">
        <v>1</v>
      </c>
      <c r="P162" s="1">
        <f>IF(Table13[[#This Row],[design]]="Cross-sectional",0,1)</f>
        <v>0</v>
      </c>
      <c r="Q162" s="1">
        <f>IF(Table13[[#This Row],[adj]]="Adjusted",1,0)</f>
        <v>0</v>
      </c>
      <c r="R162" s="1">
        <f>SUM(Table13[[#This Row],[representative]:[adjust]])</f>
        <v>1</v>
      </c>
    </row>
    <row r="163" spans="1:18" x14ac:dyDescent="0.25">
      <c r="A163" s="1" t="s">
        <v>949</v>
      </c>
      <c r="B163" s="1" t="s">
        <v>950</v>
      </c>
      <c r="C163" s="1" t="s">
        <v>951</v>
      </c>
      <c r="D163" s="1">
        <v>2022</v>
      </c>
      <c r="E163" s="1" t="s">
        <v>21</v>
      </c>
      <c r="F163" s="1" t="s">
        <v>20</v>
      </c>
      <c r="G163" s="1" t="s">
        <v>18</v>
      </c>
      <c r="H163" s="1" t="s">
        <v>80</v>
      </c>
      <c r="I163" s="1" t="s">
        <v>966</v>
      </c>
      <c r="J163" s="1" t="s">
        <v>80</v>
      </c>
      <c r="K163" s="1" t="s">
        <v>41</v>
      </c>
      <c r="L163" s="1" t="s">
        <v>53</v>
      </c>
      <c r="M163" s="1" t="s">
        <v>74</v>
      </c>
      <c r="N163" s="1" t="s">
        <v>2</v>
      </c>
      <c r="O163" s="1">
        <v>1</v>
      </c>
      <c r="P163" s="1">
        <f>IF(Table13[[#This Row],[design]]="Cross-sectional",0,1)</f>
        <v>0</v>
      </c>
      <c r="Q163" s="1">
        <f>IF(Table13[[#This Row],[adj]]="Adjusted",1,0)</f>
        <v>0</v>
      </c>
      <c r="R163" s="1">
        <f>SUM(Table13[[#This Row],[representative]:[adjust]])</f>
        <v>1</v>
      </c>
    </row>
    <row r="164" spans="1:18" x14ac:dyDescent="0.25">
      <c r="A164" s="1" t="s">
        <v>968</v>
      </c>
      <c r="B164" s="1" t="s">
        <v>969</v>
      </c>
      <c r="C164" s="1" t="s">
        <v>970</v>
      </c>
      <c r="D164" s="1">
        <v>2016</v>
      </c>
      <c r="E164" s="1" t="s">
        <v>21</v>
      </c>
      <c r="F164" s="1" t="s">
        <v>20</v>
      </c>
      <c r="G164" s="1" t="s">
        <v>18</v>
      </c>
      <c r="H164" s="1" t="s">
        <v>80</v>
      </c>
      <c r="I164" s="1" t="s">
        <v>973</v>
      </c>
      <c r="J164" s="1" t="s">
        <v>974</v>
      </c>
      <c r="K164" s="1" t="s">
        <v>41</v>
      </c>
      <c r="L164" s="1" t="s">
        <v>53</v>
      </c>
      <c r="M164" s="1" t="s">
        <v>8</v>
      </c>
      <c r="N164" s="1" t="s">
        <v>35</v>
      </c>
      <c r="O164" s="1">
        <v>1</v>
      </c>
      <c r="P164" s="1">
        <f>IF(Table13[[#This Row],[design]]="Cross-sectional",0,1)</f>
        <v>0</v>
      </c>
      <c r="Q164" s="1">
        <f>IF(Table13[[#This Row],[adj]]="Adjusted",1,0)</f>
        <v>1</v>
      </c>
      <c r="R164" s="1">
        <f>SUM(Table13[[#This Row],[representative]:[adjust]])</f>
        <v>2</v>
      </c>
    </row>
    <row r="165" spans="1:18" x14ac:dyDescent="0.25">
      <c r="A165" s="1" t="s">
        <v>980</v>
      </c>
      <c r="B165" s="1" t="s">
        <v>981</v>
      </c>
      <c r="C165" s="1" t="s">
        <v>982</v>
      </c>
      <c r="D165" s="1">
        <v>2019</v>
      </c>
      <c r="E165" s="1" t="s">
        <v>21</v>
      </c>
      <c r="F165" s="1" t="s">
        <v>118</v>
      </c>
      <c r="G165" s="1" t="s">
        <v>260</v>
      </c>
      <c r="H165" s="1" t="s">
        <v>80</v>
      </c>
      <c r="I165" s="1" t="s">
        <v>989</v>
      </c>
      <c r="J165" s="1" t="s">
        <v>989</v>
      </c>
      <c r="K165" s="1" t="s">
        <v>9</v>
      </c>
      <c r="L165" s="1" t="s">
        <v>9</v>
      </c>
      <c r="M165" s="1" t="s">
        <v>987</v>
      </c>
      <c r="N165" s="1" t="s">
        <v>2</v>
      </c>
      <c r="O165" s="1">
        <v>1</v>
      </c>
      <c r="P165" s="1">
        <f>IF(Table13[[#This Row],[design]]="Cross-sectional",0,1)</f>
        <v>0</v>
      </c>
      <c r="Q165" s="1">
        <f>IF(Table13[[#This Row],[adj]]="Adjusted",1,0)</f>
        <v>0</v>
      </c>
      <c r="R165" s="1">
        <f>SUM(Table13[[#This Row],[representative]:[adjust]])</f>
        <v>1</v>
      </c>
    </row>
    <row r="166" spans="1:18" x14ac:dyDescent="0.25">
      <c r="A166" s="1" t="s">
        <v>980</v>
      </c>
      <c r="B166" s="1" t="s">
        <v>981</v>
      </c>
      <c r="C166" s="1" t="s">
        <v>982</v>
      </c>
      <c r="D166" s="1">
        <v>2019</v>
      </c>
      <c r="E166" s="1" t="s">
        <v>21</v>
      </c>
      <c r="F166" s="1" t="s">
        <v>118</v>
      </c>
      <c r="G166" s="1" t="s">
        <v>260</v>
      </c>
      <c r="H166" s="1" t="s">
        <v>11</v>
      </c>
      <c r="I166" s="1" t="s">
        <v>985</v>
      </c>
      <c r="J166" s="1" t="s">
        <v>986</v>
      </c>
      <c r="K166" s="1" t="s">
        <v>9</v>
      </c>
      <c r="L166" s="1" t="s">
        <v>9</v>
      </c>
      <c r="M166" s="1" t="s">
        <v>987</v>
      </c>
      <c r="N166" s="1" t="s">
        <v>2</v>
      </c>
      <c r="O166" s="1">
        <v>1</v>
      </c>
      <c r="P166" s="1">
        <f>IF(Table13[[#This Row],[design]]="Cross-sectional",0,1)</f>
        <v>0</v>
      </c>
      <c r="Q166" s="1">
        <f>IF(Table13[[#This Row],[adj]]="Adjusted",1,0)</f>
        <v>0</v>
      </c>
      <c r="R166" s="1">
        <f>SUM(Table13[[#This Row],[representative]:[adjust]])</f>
        <v>1</v>
      </c>
    </row>
    <row r="167" spans="1:18" x14ac:dyDescent="0.25">
      <c r="A167" s="1" t="s">
        <v>980</v>
      </c>
      <c r="B167" s="1" t="s">
        <v>981</v>
      </c>
      <c r="C167" s="1" t="s">
        <v>982</v>
      </c>
      <c r="D167" s="1">
        <v>2019</v>
      </c>
      <c r="E167" s="1" t="s">
        <v>21</v>
      </c>
      <c r="F167" s="1" t="s">
        <v>118</v>
      </c>
      <c r="G167" s="1" t="s">
        <v>260</v>
      </c>
      <c r="H167" s="1" t="s">
        <v>11</v>
      </c>
      <c r="I167" s="1" t="s">
        <v>985</v>
      </c>
      <c r="J167" s="1" t="s">
        <v>992</v>
      </c>
      <c r="K167" s="1" t="s">
        <v>9</v>
      </c>
      <c r="L167" s="1" t="s">
        <v>9</v>
      </c>
      <c r="M167" s="1" t="s">
        <v>987</v>
      </c>
      <c r="N167" s="1" t="s">
        <v>35</v>
      </c>
      <c r="O167" s="1">
        <v>1</v>
      </c>
      <c r="P167" s="1">
        <f>IF(Table13[[#This Row],[design]]="Cross-sectional",0,1)</f>
        <v>0</v>
      </c>
      <c r="Q167" s="1">
        <f>IF(Table13[[#This Row],[adj]]="Adjusted",1,0)</f>
        <v>1</v>
      </c>
      <c r="R167" s="1">
        <f>SUM(Table13[[#This Row],[representative]:[adjust]])</f>
        <v>2</v>
      </c>
    </row>
    <row r="168" spans="1:18" x14ac:dyDescent="0.25">
      <c r="A168" s="1" t="s">
        <v>994</v>
      </c>
      <c r="B168" s="1" t="s">
        <v>995</v>
      </c>
      <c r="C168" s="1" t="s">
        <v>996</v>
      </c>
      <c r="D168" s="1">
        <v>2017</v>
      </c>
      <c r="E168" s="1" t="s">
        <v>21</v>
      </c>
      <c r="F168" s="1" t="s">
        <v>386</v>
      </c>
      <c r="G168" s="1" t="s">
        <v>148</v>
      </c>
      <c r="H168" s="1" t="s">
        <v>11</v>
      </c>
      <c r="I168" s="1" t="s">
        <v>997</v>
      </c>
      <c r="J168" s="1" t="s">
        <v>11</v>
      </c>
      <c r="K168" s="1" t="s">
        <v>9</v>
      </c>
      <c r="L168" s="1" t="s">
        <v>9</v>
      </c>
      <c r="M168" s="1" t="s">
        <v>8</v>
      </c>
      <c r="N168" s="1" t="s">
        <v>35</v>
      </c>
      <c r="O168" s="1">
        <v>0</v>
      </c>
      <c r="P168" s="1">
        <f>IF(Table13[[#This Row],[design]]="Cross-sectional",0,1)</f>
        <v>0</v>
      </c>
      <c r="Q168" s="1">
        <f>IF(Table13[[#This Row],[adj]]="Adjusted",1,0)</f>
        <v>1</v>
      </c>
      <c r="R168" s="1">
        <f>SUM(Table13[[#This Row],[representative]:[adjust]])</f>
        <v>1</v>
      </c>
    </row>
    <row r="169" spans="1:18" x14ac:dyDescent="0.25">
      <c r="A169" s="1" t="s">
        <v>1001</v>
      </c>
      <c r="B169" s="1" t="s">
        <v>1002</v>
      </c>
      <c r="C169" s="1" t="s">
        <v>1003</v>
      </c>
      <c r="D169" s="1">
        <v>2017</v>
      </c>
      <c r="E169" s="1" t="s">
        <v>21</v>
      </c>
      <c r="F169" s="1" t="s">
        <v>20</v>
      </c>
      <c r="G169" s="1" t="s">
        <v>278</v>
      </c>
      <c r="H169" s="1" t="s">
        <v>11</v>
      </c>
      <c r="I169" s="1" t="s">
        <v>541</v>
      </c>
      <c r="J169" s="1" t="s">
        <v>541</v>
      </c>
      <c r="K169" s="1" t="s">
        <v>41</v>
      </c>
      <c r="L169" s="1" t="s">
        <v>53</v>
      </c>
      <c r="M169" s="1" t="s">
        <v>8</v>
      </c>
      <c r="N169" s="1" t="s">
        <v>35</v>
      </c>
      <c r="O169" s="1">
        <v>1</v>
      </c>
      <c r="P169" s="1">
        <f>IF(Table13[[#This Row],[design]]="Cross-sectional",0,1)</f>
        <v>0</v>
      </c>
      <c r="Q169" s="1">
        <f>IF(Table13[[#This Row],[adj]]="Adjusted",1,0)</f>
        <v>1</v>
      </c>
      <c r="R169" s="1">
        <f>SUM(Table13[[#This Row],[representative]:[adjust]])</f>
        <v>2</v>
      </c>
    </row>
    <row r="170" spans="1:18" x14ac:dyDescent="0.25">
      <c r="A170" s="1" t="s">
        <v>1001</v>
      </c>
      <c r="B170" s="1" t="s">
        <v>1002</v>
      </c>
      <c r="C170" s="1" t="s">
        <v>1003</v>
      </c>
      <c r="D170" s="1">
        <v>2017</v>
      </c>
      <c r="E170" s="1" t="s">
        <v>21</v>
      </c>
      <c r="F170" s="1" t="s">
        <v>20</v>
      </c>
      <c r="G170" s="1" t="s">
        <v>278</v>
      </c>
      <c r="H170" s="1" t="s">
        <v>80</v>
      </c>
      <c r="I170" s="1" t="s">
        <v>1008</v>
      </c>
      <c r="J170" s="1" t="s">
        <v>1008</v>
      </c>
      <c r="K170" s="1" t="s">
        <v>41</v>
      </c>
      <c r="L170" s="1" t="s">
        <v>53</v>
      </c>
      <c r="M170" s="1" t="s">
        <v>8</v>
      </c>
      <c r="N170" s="1" t="s">
        <v>35</v>
      </c>
      <c r="O170" s="1">
        <v>1</v>
      </c>
      <c r="P170" s="1">
        <f>IF(Table13[[#This Row],[design]]="Cross-sectional",0,1)</f>
        <v>0</v>
      </c>
      <c r="Q170" s="1">
        <f>IF(Table13[[#This Row],[adj]]="Adjusted",1,0)</f>
        <v>1</v>
      </c>
      <c r="R170" s="1">
        <f>SUM(Table13[[#This Row],[representative]:[adjust]])</f>
        <v>2</v>
      </c>
    </row>
    <row r="171" spans="1:18" x14ac:dyDescent="0.25">
      <c r="A171" s="1" t="s">
        <v>1013</v>
      </c>
      <c r="B171" s="1" t="s">
        <v>1014</v>
      </c>
      <c r="C171" s="1" t="s">
        <v>1015</v>
      </c>
      <c r="D171" s="1">
        <v>2018</v>
      </c>
      <c r="E171" s="1" t="s">
        <v>21</v>
      </c>
      <c r="F171" s="1" t="s">
        <v>20</v>
      </c>
      <c r="G171" s="1" t="s">
        <v>18</v>
      </c>
      <c r="H171" s="1" t="s">
        <v>513</v>
      </c>
      <c r="I171" s="1" t="s">
        <v>1024</v>
      </c>
      <c r="J171" s="1" t="s">
        <v>1028</v>
      </c>
      <c r="K171" s="1" t="s">
        <v>9</v>
      </c>
      <c r="L171" s="1" t="s">
        <v>9</v>
      </c>
      <c r="M171" s="1" t="s">
        <v>8</v>
      </c>
      <c r="N171" s="1" t="s">
        <v>2</v>
      </c>
      <c r="O171" s="1">
        <v>1</v>
      </c>
      <c r="P171" s="1">
        <f>IF(Table13[[#This Row],[design]]="Cross-sectional",0,1)</f>
        <v>0</v>
      </c>
      <c r="Q171" s="1">
        <f>IF(Table13[[#This Row],[adj]]="Adjusted",1,0)</f>
        <v>0</v>
      </c>
      <c r="R171" s="1">
        <f>SUM(Table13[[#This Row],[representative]:[adjust]])</f>
        <v>1</v>
      </c>
    </row>
    <row r="172" spans="1:18" x14ac:dyDescent="0.25">
      <c r="A172" s="1" t="s">
        <v>1013</v>
      </c>
      <c r="B172" s="1" t="s">
        <v>1014</v>
      </c>
      <c r="C172" s="1" t="s">
        <v>1015</v>
      </c>
      <c r="D172" s="1">
        <v>2018</v>
      </c>
      <c r="E172" s="1" t="s">
        <v>21</v>
      </c>
      <c r="F172" s="1" t="s">
        <v>20</v>
      </c>
      <c r="G172" s="1" t="s">
        <v>18</v>
      </c>
      <c r="H172" s="1" t="s">
        <v>513</v>
      </c>
      <c r="I172" s="1" t="s">
        <v>1024</v>
      </c>
      <c r="J172" s="1" t="s">
        <v>1024</v>
      </c>
      <c r="K172" s="1" t="s">
        <v>41</v>
      </c>
      <c r="L172" s="1" t="s">
        <v>53</v>
      </c>
      <c r="M172" s="1" t="s">
        <v>160</v>
      </c>
      <c r="N172" s="1" t="s">
        <v>2</v>
      </c>
      <c r="O172" s="1">
        <v>1</v>
      </c>
      <c r="P172" s="1">
        <f>IF(Table13[[#This Row],[design]]="Cross-sectional",0,1)</f>
        <v>0</v>
      </c>
      <c r="Q172" s="1">
        <f>IF(Table13[[#This Row],[adj]]="Adjusted",1,0)</f>
        <v>0</v>
      </c>
      <c r="R172" s="1">
        <f>SUM(Table13[[#This Row],[representative]:[adjust]])</f>
        <v>1</v>
      </c>
    </row>
    <row r="173" spans="1:18" x14ac:dyDescent="0.25">
      <c r="A173" s="1" t="s">
        <v>1013</v>
      </c>
      <c r="B173" s="1" t="s">
        <v>1014</v>
      </c>
      <c r="C173" s="1" t="s">
        <v>1015</v>
      </c>
      <c r="D173" s="1">
        <v>2018</v>
      </c>
      <c r="E173" s="1" t="s">
        <v>21</v>
      </c>
      <c r="F173" s="1" t="s">
        <v>20</v>
      </c>
      <c r="G173" s="1" t="s">
        <v>18</v>
      </c>
      <c r="H173" s="1" t="s">
        <v>80</v>
      </c>
      <c r="I173" s="1" t="s">
        <v>1017</v>
      </c>
      <c r="J173" s="1" t="s">
        <v>80</v>
      </c>
      <c r="K173" s="1" t="s">
        <v>9</v>
      </c>
      <c r="L173" s="1" t="s">
        <v>9</v>
      </c>
      <c r="M173" s="1" t="s">
        <v>160</v>
      </c>
      <c r="N173" s="1" t="s">
        <v>2</v>
      </c>
      <c r="O173" s="1">
        <v>1</v>
      </c>
      <c r="P173" s="1">
        <f>IF(Table13[[#This Row],[design]]="Cross-sectional",0,1)</f>
        <v>0</v>
      </c>
      <c r="Q173" s="1">
        <f>IF(Table13[[#This Row],[adj]]="Adjusted",1,0)</f>
        <v>0</v>
      </c>
      <c r="R173" s="1">
        <f>SUM(Table13[[#This Row],[representative]:[adjust]])</f>
        <v>1</v>
      </c>
    </row>
    <row r="174" spans="1:18" x14ac:dyDescent="0.25">
      <c r="A174" s="1" t="s">
        <v>1013</v>
      </c>
      <c r="B174" s="1" t="s">
        <v>1014</v>
      </c>
      <c r="C174" s="1" t="s">
        <v>1015</v>
      </c>
      <c r="D174" s="1">
        <v>2018</v>
      </c>
      <c r="E174" s="1" t="s">
        <v>21</v>
      </c>
      <c r="F174" s="1" t="s">
        <v>20</v>
      </c>
      <c r="G174" s="1" t="s">
        <v>18</v>
      </c>
      <c r="H174" s="1" t="s">
        <v>80</v>
      </c>
      <c r="I174" s="1" t="s">
        <v>1017</v>
      </c>
      <c r="J174" s="1" t="s">
        <v>80</v>
      </c>
      <c r="K174" s="1" t="s">
        <v>41</v>
      </c>
      <c r="L174" s="1" t="s">
        <v>53</v>
      </c>
      <c r="M174" s="1" t="s">
        <v>160</v>
      </c>
      <c r="N174" s="1" t="s">
        <v>2</v>
      </c>
      <c r="O174" s="1">
        <v>1</v>
      </c>
      <c r="P174" s="1">
        <f>IF(Table13[[#This Row],[design]]="Cross-sectional",0,1)</f>
        <v>0</v>
      </c>
      <c r="Q174" s="1">
        <f>IF(Table13[[#This Row],[adj]]="Adjusted",1,0)</f>
        <v>0</v>
      </c>
      <c r="R174" s="1">
        <f>SUM(Table13[[#This Row],[representative]:[adjust]])</f>
        <v>1</v>
      </c>
    </row>
    <row r="175" spans="1:18" x14ac:dyDescent="0.25">
      <c r="A175" s="1" t="s">
        <v>1013</v>
      </c>
      <c r="B175" s="1" t="s">
        <v>1014</v>
      </c>
      <c r="C175" s="1" t="s">
        <v>1015</v>
      </c>
      <c r="D175" s="1">
        <v>2018</v>
      </c>
      <c r="E175" s="1" t="s">
        <v>21</v>
      </c>
      <c r="F175" s="1" t="s">
        <v>20</v>
      </c>
      <c r="G175" s="1" t="s">
        <v>18</v>
      </c>
      <c r="H175" s="1" t="s">
        <v>11</v>
      </c>
      <c r="I175" s="1" t="s">
        <v>1022</v>
      </c>
      <c r="J175" s="1" t="s">
        <v>11</v>
      </c>
      <c r="K175" s="1" t="s">
        <v>41</v>
      </c>
      <c r="L175" s="1" t="s">
        <v>53</v>
      </c>
      <c r="M175" s="1" t="s">
        <v>160</v>
      </c>
      <c r="N175" s="1" t="s">
        <v>2</v>
      </c>
      <c r="O175" s="1">
        <v>1</v>
      </c>
      <c r="P175" s="1">
        <f>IF(Table13[[#This Row],[design]]="Cross-sectional",0,1)</f>
        <v>0</v>
      </c>
      <c r="Q175" s="1">
        <f>IF(Table13[[#This Row],[adj]]="Adjusted",1,0)</f>
        <v>0</v>
      </c>
      <c r="R175" s="1">
        <f>SUM(Table13[[#This Row],[representative]:[adjust]])</f>
        <v>1</v>
      </c>
    </row>
    <row r="176" spans="1:18" x14ac:dyDescent="0.25">
      <c r="A176" s="1" t="s">
        <v>1013</v>
      </c>
      <c r="B176" s="1" t="s">
        <v>1014</v>
      </c>
      <c r="C176" s="1" t="s">
        <v>1015</v>
      </c>
      <c r="D176" s="1">
        <v>2018</v>
      </c>
      <c r="E176" s="1" t="s">
        <v>21</v>
      </c>
      <c r="F176" s="1" t="s">
        <v>20</v>
      </c>
      <c r="G176" s="1" t="s">
        <v>18</v>
      </c>
      <c r="H176" s="1" t="s">
        <v>11</v>
      </c>
      <c r="I176" s="1" t="s">
        <v>1022</v>
      </c>
      <c r="J176" s="1" t="s">
        <v>11</v>
      </c>
      <c r="K176" s="1" t="s">
        <v>9</v>
      </c>
      <c r="L176" s="1" t="s">
        <v>9</v>
      </c>
      <c r="M176" s="1" t="s">
        <v>160</v>
      </c>
      <c r="N176" s="1" t="s">
        <v>35</v>
      </c>
      <c r="O176" s="1">
        <v>1</v>
      </c>
      <c r="P176" s="1">
        <f>IF(Table13[[#This Row],[design]]="Cross-sectional",0,1)</f>
        <v>0</v>
      </c>
      <c r="Q176" s="1">
        <f>IF(Table13[[#This Row],[adj]]="Adjusted",1,0)</f>
        <v>1</v>
      </c>
      <c r="R176" s="1">
        <f>SUM(Table13[[#This Row],[representative]:[adjust]])</f>
        <v>2</v>
      </c>
    </row>
    <row r="177" spans="1:18" x14ac:dyDescent="0.25">
      <c r="A177" s="1" t="s">
        <v>1030</v>
      </c>
      <c r="B177" s="1" t="s">
        <v>1031</v>
      </c>
      <c r="C177" s="1" t="s">
        <v>1032</v>
      </c>
      <c r="D177" s="1">
        <v>2011</v>
      </c>
      <c r="E177" s="1" t="s">
        <v>21</v>
      </c>
      <c r="F177" s="1" t="s">
        <v>20</v>
      </c>
      <c r="G177" s="1" t="s">
        <v>18</v>
      </c>
      <c r="H177" s="1" t="s">
        <v>80</v>
      </c>
      <c r="I177" s="1" t="s">
        <v>1042</v>
      </c>
      <c r="J177" s="1" t="s">
        <v>1042</v>
      </c>
      <c r="K177" s="1" t="s">
        <v>9</v>
      </c>
      <c r="L177" s="1" t="s">
        <v>9</v>
      </c>
      <c r="M177" s="1" t="s">
        <v>987</v>
      </c>
      <c r="N177" s="1" t="s">
        <v>2</v>
      </c>
      <c r="O177" s="1">
        <v>1</v>
      </c>
      <c r="P177" s="1">
        <f>IF(Table13[[#This Row],[design]]="Cross-sectional",0,1)</f>
        <v>0</v>
      </c>
      <c r="Q177" s="1">
        <f>IF(Table13[[#This Row],[adj]]="Adjusted",1,0)</f>
        <v>0</v>
      </c>
      <c r="R177" s="1">
        <f>SUM(Table13[[#This Row],[representative]:[adjust]])</f>
        <v>1</v>
      </c>
    </row>
    <row r="178" spans="1:18" x14ac:dyDescent="0.25">
      <c r="A178" s="1" t="s">
        <v>1030</v>
      </c>
      <c r="B178" s="1" t="s">
        <v>1031</v>
      </c>
      <c r="C178" s="1" t="s">
        <v>1032</v>
      </c>
      <c r="D178" s="1">
        <v>2011</v>
      </c>
      <c r="E178" s="1" t="s">
        <v>21</v>
      </c>
      <c r="F178" s="1" t="s">
        <v>20</v>
      </c>
      <c r="G178" s="1" t="s">
        <v>18</v>
      </c>
      <c r="H178" s="1" t="s">
        <v>11</v>
      </c>
      <c r="I178" s="1" t="s">
        <v>1045</v>
      </c>
      <c r="J178" s="1" t="s">
        <v>1045</v>
      </c>
      <c r="K178" s="1" t="s">
        <v>9</v>
      </c>
      <c r="L178" s="1" t="s">
        <v>9</v>
      </c>
      <c r="M178" s="1" t="s">
        <v>987</v>
      </c>
      <c r="N178" s="1" t="s">
        <v>2</v>
      </c>
      <c r="O178" s="1">
        <v>1</v>
      </c>
      <c r="P178" s="1">
        <f>IF(Table13[[#This Row],[design]]="Cross-sectional",0,1)</f>
        <v>0</v>
      </c>
      <c r="Q178" s="1">
        <f>IF(Table13[[#This Row],[adj]]="Adjusted",1,0)</f>
        <v>0</v>
      </c>
      <c r="R178" s="1">
        <f>SUM(Table13[[#This Row],[representative]:[adjust]])</f>
        <v>1</v>
      </c>
    </row>
    <row r="179" spans="1:18" x14ac:dyDescent="0.25">
      <c r="A179" s="1" t="s">
        <v>1030</v>
      </c>
      <c r="B179" s="1" t="s">
        <v>1031</v>
      </c>
      <c r="C179" s="1" t="s">
        <v>1032</v>
      </c>
      <c r="D179" s="1">
        <v>2011</v>
      </c>
      <c r="E179" s="1" t="s">
        <v>21</v>
      </c>
      <c r="F179" s="1" t="s">
        <v>20</v>
      </c>
      <c r="G179" s="1" t="s">
        <v>18</v>
      </c>
      <c r="H179" s="1" t="s">
        <v>11</v>
      </c>
      <c r="I179" s="1" t="s">
        <v>1038</v>
      </c>
      <c r="J179" s="1" t="s">
        <v>1035</v>
      </c>
      <c r="K179" s="1" t="s">
        <v>112</v>
      </c>
      <c r="L179" s="1" t="s">
        <v>53</v>
      </c>
      <c r="M179" s="1" t="s">
        <v>63</v>
      </c>
      <c r="N179" s="1" t="s">
        <v>2</v>
      </c>
      <c r="O179" s="1">
        <v>1</v>
      </c>
      <c r="P179" s="1">
        <f>IF(Table13[[#This Row],[design]]="Cross-sectional",0,1)</f>
        <v>0</v>
      </c>
      <c r="Q179" s="1">
        <f>IF(Table13[[#This Row],[adj]]="Adjusted",1,0)</f>
        <v>0</v>
      </c>
      <c r="R179" s="1">
        <f>SUM(Table13[[#This Row],[representative]:[adjust]])</f>
        <v>1</v>
      </c>
    </row>
    <row r="180" spans="1:18" x14ac:dyDescent="0.25">
      <c r="A180" s="1" t="s">
        <v>1030</v>
      </c>
      <c r="B180" s="1" t="s">
        <v>1031</v>
      </c>
      <c r="C180" s="1" t="s">
        <v>1032</v>
      </c>
      <c r="D180" s="1">
        <v>2011</v>
      </c>
      <c r="E180" s="1" t="s">
        <v>21</v>
      </c>
      <c r="F180" s="1" t="s">
        <v>20</v>
      </c>
      <c r="G180" s="1" t="s">
        <v>18</v>
      </c>
      <c r="H180" s="1" t="s">
        <v>11</v>
      </c>
      <c r="I180" s="1" t="s">
        <v>1034</v>
      </c>
      <c r="J180" s="1" t="s">
        <v>1035</v>
      </c>
      <c r="K180" s="1" t="s">
        <v>112</v>
      </c>
      <c r="L180" s="1" t="s">
        <v>53</v>
      </c>
      <c r="M180" s="1" t="s">
        <v>160</v>
      </c>
      <c r="N180" s="1" t="s">
        <v>2</v>
      </c>
      <c r="O180" s="1">
        <v>1</v>
      </c>
      <c r="P180" s="1">
        <f>IF(Table13[[#This Row],[design]]="Cross-sectional",0,1)</f>
        <v>0</v>
      </c>
      <c r="Q180" s="1">
        <f>IF(Table13[[#This Row],[adj]]="Adjusted",1,0)</f>
        <v>0</v>
      </c>
      <c r="R180" s="1">
        <f>SUM(Table13[[#This Row],[representative]:[adjust]])</f>
        <v>1</v>
      </c>
    </row>
    <row r="181" spans="1:18" x14ac:dyDescent="0.25">
      <c r="A181" s="1" t="s">
        <v>1048</v>
      </c>
      <c r="B181" s="1" t="s">
        <v>1049</v>
      </c>
      <c r="C181" s="1" t="s">
        <v>1050</v>
      </c>
      <c r="D181" s="1">
        <v>2017</v>
      </c>
      <c r="E181" s="1" t="s">
        <v>21</v>
      </c>
      <c r="F181" s="1" t="s">
        <v>20</v>
      </c>
      <c r="G181" s="1" t="s">
        <v>18</v>
      </c>
      <c r="H181" s="1" t="s">
        <v>80</v>
      </c>
      <c r="I181" s="1" t="s">
        <v>1051</v>
      </c>
      <c r="J181" s="1" t="s">
        <v>80</v>
      </c>
      <c r="K181" s="1" t="s">
        <v>9</v>
      </c>
      <c r="L181" s="1" t="s">
        <v>9</v>
      </c>
      <c r="M181" s="1" t="s">
        <v>8</v>
      </c>
      <c r="N181" s="1" t="s">
        <v>2</v>
      </c>
      <c r="O181" s="1">
        <v>1</v>
      </c>
      <c r="P181" s="1">
        <f>IF(Table13[[#This Row],[design]]="Cross-sectional",0,1)</f>
        <v>0</v>
      </c>
      <c r="Q181" s="1">
        <f>IF(Table13[[#This Row],[adj]]="Adjusted",1,0)</f>
        <v>0</v>
      </c>
      <c r="R181" s="1">
        <f>SUM(Table13[[#This Row],[representative]:[adjust]])</f>
        <v>1</v>
      </c>
    </row>
    <row r="182" spans="1:18" x14ac:dyDescent="0.25">
      <c r="A182" s="1" t="s">
        <v>1048</v>
      </c>
      <c r="B182" s="1" t="s">
        <v>1049</v>
      </c>
      <c r="C182" s="1" t="s">
        <v>1050</v>
      </c>
      <c r="D182" s="1">
        <v>2017</v>
      </c>
      <c r="E182" s="1" t="s">
        <v>21</v>
      </c>
      <c r="F182" s="1" t="s">
        <v>20</v>
      </c>
      <c r="G182" s="1" t="s">
        <v>18</v>
      </c>
      <c r="H182" s="1" t="s">
        <v>11</v>
      </c>
      <c r="I182" s="1" t="s">
        <v>1053</v>
      </c>
      <c r="J182" s="1" t="s">
        <v>11</v>
      </c>
      <c r="K182" s="1" t="s">
        <v>9</v>
      </c>
      <c r="L182" s="1" t="s">
        <v>9</v>
      </c>
      <c r="M182" s="1" t="s">
        <v>8</v>
      </c>
      <c r="N182" s="1" t="s">
        <v>2</v>
      </c>
      <c r="O182" s="1">
        <v>1</v>
      </c>
      <c r="P182" s="1">
        <f>IF(Table13[[#This Row],[design]]="Cross-sectional",0,1)</f>
        <v>0</v>
      </c>
      <c r="Q182" s="1">
        <f>IF(Table13[[#This Row],[adj]]="Adjusted",1,0)</f>
        <v>0</v>
      </c>
      <c r="R182" s="1">
        <f>SUM(Table13[[#This Row],[representative]:[adjust]])</f>
        <v>1</v>
      </c>
    </row>
    <row r="183" spans="1:18" x14ac:dyDescent="0.25">
      <c r="A183" s="1" t="s">
        <v>1054</v>
      </c>
      <c r="B183" s="1" t="s">
        <v>1055</v>
      </c>
      <c r="C183" s="1" t="s">
        <v>1056</v>
      </c>
      <c r="D183" s="1">
        <v>2013</v>
      </c>
      <c r="E183" s="1" t="s">
        <v>21</v>
      </c>
      <c r="F183" s="1" t="s">
        <v>20</v>
      </c>
      <c r="G183" s="1" t="s">
        <v>1058</v>
      </c>
      <c r="H183" s="1" t="s">
        <v>39</v>
      </c>
      <c r="I183" s="1" t="s">
        <v>1059</v>
      </c>
      <c r="J183" s="1" t="s">
        <v>1060</v>
      </c>
      <c r="K183" s="1" t="s">
        <v>0</v>
      </c>
      <c r="L183" s="1" t="s">
        <v>9</v>
      </c>
      <c r="M183" s="1" t="s">
        <v>74</v>
      </c>
      <c r="N183" s="1" t="s">
        <v>2</v>
      </c>
      <c r="O183" s="1">
        <v>1</v>
      </c>
      <c r="P183" s="1">
        <f>IF(Table13[[#This Row],[design]]="Cross-sectional",0,1)</f>
        <v>0</v>
      </c>
      <c r="Q183" s="1">
        <f>IF(Table13[[#This Row],[adj]]="Adjusted",1,0)</f>
        <v>0</v>
      </c>
      <c r="R183" s="1">
        <f>SUM(Table13[[#This Row],[representative]:[adjust]])</f>
        <v>1</v>
      </c>
    </row>
    <row r="184" spans="1:18" x14ac:dyDescent="0.25">
      <c r="A184" s="1" t="s">
        <v>1054</v>
      </c>
      <c r="B184" s="1" t="s">
        <v>1055</v>
      </c>
      <c r="C184" s="1" t="s">
        <v>1056</v>
      </c>
      <c r="D184" s="1">
        <v>2013</v>
      </c>
      <c r="E184" s="1" t="s">
        <v>21</v>
      </c>
      <c r="F184" s="1" t="s">
        <v>20</v>
      </c>
      <c r="G184" s="1" t="s">
        <v>1058</v>
      </c>
      <c r="H184" s="1" t="s">
        <v>39</v>
      </c>
      <c r="I184" s="1" t="s">
        <v>1061</v>
      </c>
      <c r="J184" s="1" t="s">
        <v>1060</v>
      </c>
      <c r="K184" s="1" t="s">
        <v>0</v>
      </c>
      <c r="L184" s="1" t="s">
        <v>9</v>
      </c>
      <c r="M184" s="1" t="s">
        <v>160</v>
      </c>
      <c r="N184" s="1" t="s">
        <v>2</v>
      </c>
      <c r="O184" s="1">
        <v>1</v>
      </c>
      <c r="P184" s="1">
        <f>IF(Table13[[#This Row],[design]]="Cross-sectional",0,1)</f>
        <v>0</v>
      </c>
      <c r="Q184" s="1">
        <f>IF(Table13[[#This Row],[adj]]="Adjusted",1,0)</f>
        <v>0</v>
      </c>
      <c r="R184" s="1">
        <f>SUM(Table13[[#This Row],[representative]:[adjust]])</f>
        <v>1</v>
      </c>
    </row>
    <row r="185" spans="1:18" x14ac:dyDescent="0.25">
      <c r="A185" s="1" t="s">
        <v>1054</v>
      </c>
      <c r="B185" s="1" t="s">
        <v>1055</v>
      </c>
      <c r="C185" s="1" t="s">
        <v>1056</v>
      </c>
      <c r="D185" s="1">
        <v>2013</v>
      </c>
      <c r="E185" s="1" t="s">
        <v>21</v>
      </c>
      <c r="F185" s="1" t="s">
        <v>20</v>
      </c>
      <c r="G185" s="1" t="s">
        <v>1058</v>
      </c>
      <c r="H185" s="1" t="s">
        <v>39</v>
      </c>
      <c r="I185" s="1" t="s">
        <v>1060</v>
      </c>
      <c r="J185" s="1" t="s">
        <v>1060</v>
      </c>
      <c r="K185" s="1" t="s">
        <v>0</v>
      </c>
      <c r="L185" s="1" t="s">
        <v>9</v>
      </c>
      <c r="M185" s="1" t="s">
        <v>8</v>
      </c>
      <c r="N185" s="1" t="s">
        <v>2</v>
      </c>
      <c r="O185" s="1">
        <v>1</v>
      </c>
      <c r="P185" s="1">
        <f>IF(Table13[[#This Row],[design]]="Cross-sectional",0,1)</f>
        <v>0</v>
      </c>
      <c r="Q185" s="1">
        <f>IF(Table13[[#This Row],[adj]]="Adjusted",1,0)</f>
        <v>0</v>
      </c>
      <c r="R185" s="1">
        <f>SUM(Table13[[#This Row],[representative]:[adjust]])</f>
        <v>1</v>
      </c>
    </row>
    <row r="186" spans="1:18" x14ac:dyDescent="0.25">
      <c r="A186" s="1" t="s">
        <v>1062</v>
      </c>
      <c r="B186" s="1" t="s">
        <v>1063</v>
      </c>
      <c r="C186" s="1" t="s">
        <v>1064</v>
      </c>
      <c r="D186" s="1">
        <v>2014</v>
      </c>
      <c r="E186" s="1" t="s">
        <v>21</v>
      </c>
      <c r="F186" s="1" t="s">
        <v>20</v>
      </c>
      <c r="G186" s="1" t="s">
        <v>278</v>
      </c>
      <c r="H186" s="1" t="s">
        <v>11</v>
      </c>
      <c r="I186" s="1" t="s">
        <v>1069</v>
      </c>
      <c r="J186" s="1" t="s">
        <v>541</v>
      </c>
      <c r="K186" s="1" t="s">
        <v>112</v>
      </c>
      <c r="L186" s="1" t="s">
        <v>53</v>
      </c>
      <c r="M186" s="1" t="s">
        <v>8</v>
      </c>
      <c r="N186" s="1" t="s">
        <v>35</v>
      </c>
      <c r="O186" s="1">
        <v>1</v>
      </c>
      <c r="P186" s="1">
        <f>IF(Table13[[#This Row],[design]]="Cross-sectional",0,1)</f>
        <v>0</v>
      </c>
      <c r="Q186" s="1">
        <f>IF(Table13[[#This Row],[adj]]="Adjusted",1,0)</f>
        <v>1</v>
      </c>
      <c r="R186" s="1">
        <f>SUM(Table13[[#This Row],[representative]:[adjust]])</f>
        <v>2</v>
      </c>
    </row>
    <row r="187" spans="1:18" x14ac:dyDescent="0.25">
      <c r="A187" s="1" t="s">
        <v>1062</v>
      </c>
      <c r="B187" s="1" t="s">
        <v>1063</v>
      </c>
      <c r="C187" s="1" t="s">
        <v>1064</v>
      </c>
      <c r="D187" s="1">
        <v>2014</v>
      </c>
      <c r="E187" s="1" t="s">
        <v>21</v>
      </c>
      <c r="F187" s="1" t="s">
        <v>20</v>
      </c>
      <c r="G187" s="1" t="s">
        <v>278</v>
      </c>
      <c r="H187" s="1" t="s">
        <v>513</v>
      </c>
      <c r="I187" s="1" t="s">
        <v>1076</v>
      </c>
      <c r="J187" s="1" t="s">
        <v>1076</v>
      </c>
      <c r="K187" s="1" t="s">
        <v>112</v>
      </c>
      <c r="L187" s="1" t="s">
        <v>53</v>
      </c>
      <c r="M187" s="1" t="s">
        <v>8</v>
      </c>
      <c r="N187" s="1" t="s">
        <v>35</v>
      </c>
      <c r="O187" s="1">
        <v>1</v>
      </c>
      <c r="P187" s="1">
        <f>IF(Table13[[#This Row],[design]]="Cross-sectional",0,1)</f>
        <v>0</v>
      </c>
      <c r="Q187" s="1">
        <f>IF(Table13[[#This Row],[adj]]="Adjusted",1,0)</f>
        <v>1</v>
      </c>
      <c r="R187" s="1">
        <f>SUM(Table13[[#This Row],[representative]:[adjust]])</f>
        <v>2</v>
      </c>
    </row>
    <row r="188" spans="1:18" x14ac:dyDescent="0.25">
      <c r="A188" s="1" t="s">
        <v>1062</v>
      </c>
      <c r="B188" s="1" t="s">
        <v>1063</v>
      </c>
      <c r="C188" s="1" t="s">
        <v>1064</v>
      </c>
      <c r="D188" s="1">
        <v>2014</v>
      </c>
      <c r="E188" s="1" t="s">
        <v>21</v>
      </c>
      <c r="F188" s="1" t="s">
        <v>20</v>
      </c>
      <c r="G188" s="1" t="s">
        <v>278</v>
      </c>
      <c r="H188" s="1" t="s">
        <v>80</v>
      </c>
      <c r="I188" s="1" t="s">
        <v>1074</v>
      </c>
      <c r="J188" s="1" t="s">
        <v>80</v>
      </c>
      <c r="K188" s="1" t="s">
        <v>112</v>
      </c>
      <c r="L188" s="1" t="s">
        <v>53</v>
      </c>
      <c r="M188" s="1" t="s">
        <v>8</v>
      </c>
      <c r="N188" s="1" t="s">
        <v>35</v>
      </c>
      <c r="O188" s="1">
        <v>1</v>
      </c>
      <c r="P188" s="1">
        <f>IF(Table13[[#This Row],[design]]="Cross-sectional",0,1)</f>
        <v>0</v>
      </c>
      <c r="Q188" s="1">
        <f>IF(Table13[[#This Row],[adj]]="Adjusted",1,0)</f>
        <v>1</v>
      </c>
      <c r="R188" s="1">
        <f>SUM(Table13[[#This Row],[representative]:[adjust]])</f>
        <v>2</v>
      </c>
    </row>
    <row r="189" spans="1:18" x14ac:dyDescent="0.25">
      <c r="A189" s="1" t="s">
        <v>1079</v>
      </c>
      <c r="B189" s="1" t="s">
        <v>1080</v>
      </c>
      <c r="C189" s="1" t="s">
        <v>1081</v>
      </c>
      <c r="D189" s="1">
        <v>2020</v>
      </c>
      <c r="E189" s="1" t="s">
        <v>21</v>
      </c>
      <c r="F189" s="1" t="s">
        <v>20</v>
      </c>
      <c r="G189" s="1" t="s">
        <v>18</v>
      </c>
      <c r="H189" s="1" t="s">
        <v>11</v>
      </c>
      <c r="I189" s="1" t="s">
        <v>541</v>
      </c>
      <c r="J189" s="1" t="s">
        <v>541</v>
      </c>
      <c r="K189" s="1" t="s">
        <v>67</v>
      </c>
      <c r="L189" s="1" t="s">
        <v>53</v>
      </c>
      <c r="M189" s="1" t="s">
        <v>8</v>
      </c>
      <c r="N189" s="1" t="s">
        <v>2</v>
      </c>
      <c r="O189" s="1">
        <v>1</v>
      </c>
      <c r="P189" s="1">
        <f>IF(Table13[[#This Row],[design]]="Cross-sectional",0,1)</f>
        <v>0</v>
      </c>
      <c r="Q189" s="1">
        <f>IF(Table13[[#This Row],[adj]]="Adjusted",1,0)</f>
        <v>0</v>
      </c>
      <c r="R189" s="1">
        <f>SUM(Table13[[#This Row],[representative]:[adjust]])</f>
        <v>1</v>
      </c>
    </row>
    <row r="190" spans="1:18" x14ac:dyDescent="0.25">
      <c r="A190" s="1" t="s">
        <v>1079</v>
      </c>
      <c r="B190" s="1" t="s">
        <v>1080</v>
      </c>
      <c r="C190" s="1" t="s">
        <v>1081</v>
      </c>
      <c r="D190" s="1">
        <v>2020</v>
      </c>
      <c r="E190" s="1" t="s">
        <v>21</v>
      </c>
      <c r="F190" s="1" t="s">
        <v>20</v>
      </c>
      <c r="G190" s="1" t="s">
        <v>18</v>
      </c>
      <c r="H190" s="1" t="s">
        <v>11</v>
      </c>
      <c r="I190" s="1" t="s">
        <v>1084</v>
      </c>
      <c r="J190" s="1" t="s">
        <v>1084</v>
      </c>
      <c r="K190" s="1" t="s">
        <v>67</v>
      </c>
      <c r="L190" s="1" t="s">
        <v>53</v>
      </c>
      <c r="M190" s="1" t="s">
        <v>8</v>
      </c>
      <c r="N190" s="1" t="s">
        <v>2</v>
      </c>
      <c r="O190" s="1">
        <v>1</v>
      </c>
      <c r="P190" s="1">
        <f>IF(Table13[[#This Row],[design]]="Cross-sectional",0,1)</f>
        <v>0</v>
      </c>
      <c r="Q190" s="1">
        <f>IF(Table13[[#This Row],[adj]]="Adjusted",1,0)</f>
        <v>0</v>
      </c>
      <c r="R190" s="1">
        <f>SUM(Table13[[#This Row],[representative]:[adjust]])</f>
        <v>1</v>
      </c>
    </row>
    <row r="191" spans="1:18" x14ac:dyDescent="0.25">
      <c r="A191" s="1" t="s">
        <v>1087</v>
      </c>
      <c r="B191" s="1" t="s">
        <v>1088</v>
      </c>
      <c r="C191" s="1" t="s">
        <v>1089</v>
      </c>
      <c r="D191" s="1">
        <v>2011</v>
      </c>
      <c r="E191" s="1" t="s">
        <v>21</v>
      </c>
      <c r="F191" s="1" t="s">
        <v>20</v>
      </c>
      <c r="G191" s="1" t="s">
        <v>18</v>
      </c>
      <c r="H191" s="1" t="s">
        <v>11</v>
      </c>
      <c r="I191" s="1" t="s">
        <v>1093</v>
      </c>
      <c r="J191" s="1" t="s">
        <v>1094</v>
      </c>
      <c r="K191" s="1" t="s">
        <v>14</v>
      </c>
      <c r="L191" s="1" t="s">
        <v>53</v>
      </c>
      <c r="M191" s="1" t="s">
        <v>63</v>
      </c>
      <c r="N191" s="1" t="s">
        <v>35</v>
      </c>
      <c r="O191" s="1">
        <v>1</v>
      </c>
      <c r="P191" s="1">
        <f>IF(Table13[[#This Row],[design]]="Cross-sectional",0,1)</f>
        <v>0</v>
      </c>
      <c r="Q191" s="1">
        <f>IF(Table13[[#This Row],[adj]]="Adjusted",1,0)</f>
        <v>1</v>
      </c>
      <c r="R191" s="1">
        <f>SUM(Table13[[#This Row],[representative]:[adjust]])</f>
        <v>2</v>
      </c>
    </row>
    <row r="192" spans="1:18" x14ac:dyDescent="0.25">
      <c r="A192" s="1" t="s">
        <v>1097</v>
      </c>
      <c r="B192" s="1" t="s">
        <v>1098</v>
      </c>
      <c r="C192" s="1" t="s">
        <v>1099</v>
      </c>
      <c r="D192" s="1">
        <v>2013</v>
      </c>
      <c r="E192" s="1" t="s">
        <v>21</v>
      </c>
      <c r="F192" s="1" t="s">
        <v>20</v>
      </c>
      <c r="G192" s="1" t="s">
        <v>18</v>
      </c>
      <c r="H192" s="1" t="s">
        <v>11</v>
      </c>
      <c r="I192" s="1" t="s">
        <v>1103</v>
      </c>
      <c r="J192" s="1" t="s">
        <v>1103</v>
      </c>
      <c r="K192" s="1" t="s">
        <v>9</v>
      </c>
      <c r="L192" s="1" t="s">
        <v>9</v>
      </c>
      <c r="M192" s="1" t="s">
        <v>8</v>
      </c>
      <c r="N192" s="1" t="s">
        <v>35</v>
      </c>
      <c r="O192" s="1">
        <v>1</v>
      </c>
      <c r="P192" s="1">
        <f>IF(Table13[[#This Row],[design]]="Cross-sectional",0,1)</f>
        <v>0</v>
      </c>
      <c r="Q192" s="1">
        <f>IF(Table13[[#This Row],[adj]]="Adjusted",1,0)</f>
        <v>1</v>
      </c>
      <c r="R192" s="1">
        <f>SUM(Table13[[#This Row],[representative]:[adjust]])</f>
        <v>2</v>
      </c>
    </row>
    <row r="193" spans="1:18" x14ac:dyDescent="0.25">
      <c r="A193" s="1" t="s">
        <v>1109</v>
      </c>
      <c r="B193" s="1" t="s">
        <v>1110</v>
      </c>
      <c r="C193" s="1" t="s">
        <v>1111</v>
      </c>
      <c r="D193" s="1">
        <v>2017</v>
      </c>
      <c r="E193" s="1" t="s">
        <v>21</v>
      </c>
      <c r="F193" s="1" t="s">
        <v>20</v>
      </c>
      <c r="G193" s="1" t="s">
        <v>18</v>
      </c>
      <c r="H193" s="1" t="s">
        <v>80</v>
      </c>
      <c r="I193" s="1" t="s">
        <v>1114</v>
      </c>
      <c r="J193" s="1" t="s">
        <v>1114</v>
      </c>
      <c r="K193" s="1" t="s">
        <v>41</v>
      </c>
      <c r="L193" s="1" t="s">
        <v>53</v>
      </c>
      <c r="M193" s="1" t="s">
        <v>63</v>
      </c>
      <c r="N193" s="1" t="s">
        <v>2</v>
      </c>
      <c r="O193" s="1">
        <v>1</v>
      </c>
      <c r="P193" s="1">
        <f>IF(Table13[[#This Row],[design]]="Cross-sectional",0,1)</f>
        <v>0</v>
      </c>
      <c r="Q193" s="1">
        <f>IF(Table13[[#This Row],[adj]]="Adjusted",1,0)</f>
        <v>0</v>
      </c>
      <c r="R193" s="1">
        <f>SUM(Table13[[#This Row],[representative]:[adjust]])</f>
        <v>1</v>
      </c>
    </row>
    <row r="194" spans="1:18" x14ac:dyDescent="0.25">
      <c r="A194" s="1" t="s">
        <v>1109</v>
      </c>
      <c r="B194" s="1" t="s">
        <v>1110</v>
      </c>
      <c r="C194" s="1" t="s">
        <v>1111</v>
      </c>
      <c r="D194" s="1">
        <v>2017</v>
      </c>
      <c r="E194" s="1" t="s">
        <v>21</v>
      </c>
      <c r="F194" s="1" t="s">
        <v>20</v>
      </c>
      <c r="G194" s="1" t="s">
        <v>18</v>
      </c>
      <c r="H194" s="1" t="s">
        <v>11</v>
      </c>
      <c r="I194" s="1" t="s">
        <v>186</v>
      </c>
      <c r="J194" s="1" t="s">
        <v>186</v>
      </c>
      <c r="K194" s="1" t="s">
        <v>41</v>
      </c>
      <c r="L194" s="1" t="s">
        <v>53</v>
      </c>
      <c r="M194" s="1" t="s">
        <v>63</v>
      </c>
      <c r="N194" s="1" t="s">
        <v>2</v>
      </c>
      <c r="O194" s="1">
        <v>1</v>
      </c>
      <c r="P194" s="1">
        <f>IF(Table13[[#This Row],[design]]="Cross-sectional",0,1)</f>
        <v>0</v>
      </c>
      <c r="Q194" s="1">
        <f>IF(Table13[[#This Row],[adj]]="Adjusted",1,0)</f>
        <v>0</v>
      </c>
      <c r="R194" s="1">
        <f>SUM(Table13[[#This Row],[representative]:[adjust]])</f>
        <v>1</v>
      </c>
    </row>
    <row r="195" spans="1:18" x14ac:dyDescent="0.25">
      <c r="A195" s="1" t="s">
        <v>1117</v>
      </c>
      <c r="B195" s="1" t="s">
        <v>1118</v>
      </c>
      <c r="C195" s="1" t="s">
        <v>1119</v>
      </c>
      <c r="D195" s="1">
        <v>2015</v>
      </c>
      <c r="E195" s="1" t="s">
        <v>21</v>
      </c>
      <c r="F195" s="1" t="s">
        <v>20</v>
      </c>
      <c r="G195" s="1" t="s">
        <v>18</v>
      </c>
      <c r="H195" s="1" t="s">
        <v>11</v>
      </c>
      <c r="I195" s="1" t="s">
        <v>1121</v>
      </c>
      <c r="J195" s="1" t="s">
        <v>578</v>
      </c>
      <c r="K195" s="1" t="s">
        <v>41</v>
      </c>
      <c r="L195" s="1" t="s">
        <v>53</v>
      </c>
      <c r="M195" s="1" t="s">
        <v>8</v>
      </c>
      <c r="N195" s="1" t="s">
        <v>35</v>
      </c>
      <c r="O195" s="1">
        <v>1</v>
      </c>
      <c r="P195" s="1">
        <f>IF(Table13[[#This Row],[design]]="Cross-sectional",0,1)</f>
        <v>0</v>
      </c>
      <c r="Q195" s="1">
        <f>IF(Table13[[#This Row],[adj]]="Adjusted",1,0)</f>
        <v>1</v>
      </c>
      <c r="R195" s="1">
        <f>SUM(Table13[[#This Row],[representative]:[adjust]])</f>
        <v>2</v>
      </c>
    </row>
    <row r="196" spans="1:18" x14ac:dyDescent="0.25">
      <c r="A196" s="1" t="s">
        <v>1123</v>
      </c>
      <c r="B196" s="1" t="s">
        <v>1124</v>
      </c>
      <c r="C196" s="1" t="s">
        <v>1125</v>
      </c>
      <c r="D196" s="1">
        <v>2021</v>
      </c>
      <c r="E196" s="1" t="s">
        <v>21</v>
      </c>
      <c r="F196" s="1" t="s">
        <v>20</v>
      </c>
      <c r="G196" s="1" t="s">
        <v>18</v>
      </c>
      <c r="H196" s="1" t="s">
        <v>80</v>
      </c>
      <c r="I196" s="1" t="s">
        <v>1135</v>
      </c>
      <c r="J196" s="1" t="s">
        <v>1136</v>
      </c>
      <c r="K196" s="1" t="s">
        <v>9</v>
      </c>
      <c r="L196" s="1" t="s">
        <v>9</v>
      </c>
      <c r="M196" s="1" t="s">
        <v>8</v>
      </c>
      <c r="N196" s="1" t="s">
        <v>2</v>
      </c>
      <c r="O196" s="1">
        <v>1</v>
      </c>
      <c r="P196" s="1">
        <f>IF(Table13[[#This Row],[design]]="Cross-sectional",0,1)</f>
        <v>0</v>
      </c>
      <c r="Q196" s="1">
        <f>IF(Table13[[#This Row],[adj]]="Adjusted",1,0)</f>
        <v>0</v>
      </c>
      <c r="R196" s="1">
        <f>SUM(Table13[[#This Row],[representative]:[adjust]])</f>
        <v>1</v>
      </c>
    </row>
    <row r="197" spans="1:18" x14ac:dyDescent="0.25">
      <c r="A197" s="1" t="s">
        <v>1123</v>
      </c>
      <c r="B197" s="1" t="s">
        <v>1124</v>
      </c>
      <c r="C197" s="1" t="s">
        <v>1125</v>
      </c>
      <c r="D197" s="1">
        <v>2021</v>
      </c>
      <c r="E197" s="1" t="s">
        <v>21</v>
      </c>
      <c r="F197" s="1" t="s">
        <v>20</v>
      </c>
      <c r="G197" s="1" t="s">
        <v>18</v>
      </c>
      <c r="H197" s="1" t="s">
        <v>80</v>
      </c>
      <c r="I197" s="1" t="s">
        <v>1135</v>
      </c>
      <c r="J197" s="1" t="s">
        <v>1152</v>
      </c>
      <c r="K197" s="1" t="s">
        <v>9</v>
      </c>
      <c r="L197" s="1" t="s">
        <v>9</v>
      </c>
      <c r="M197" s="1" t="s">
        <v>8</v>
      </c>
      <c r="N197" s="1" t="s">
        <v>2</v>
      </c>
      <c r="O197" s="1">
        <v>1</v>
      </c>
      <c r="P197" s="1">
        <f>IF(Table13[[#This Row],[design]]="Cross-sectional",0,1)</f>
        <v>0</v>
      </c>
      <c r="Q197" s="1">
        <f>IF(Table13[[#This Row],[adj]]="Adjusted",1,0)</f>
        <v>0</v>
      </c>
      <c r="R197" s="1">
        <f>SUM(Table13[[#This Row],[representative]:[adjust]])</f>
        <v>1</v>
      </c>
    </row>
    <row r="198" spans="1:18" x14ac:dyDescent="0.25">
      <c r="A198" s="1" t="s">
        <v>1123</v>
      </c>
      <c r="B198" s="1" t="s">
        <v>1124</v>
      </c>
      <c r="C198" s="1" t="s">
        <v>1125</v>
      </c>
      <c r="D198" s="1">
        <v>2021</v>
      </c>
      <c r="E198" s="1" t="s">
        <v>21</v>
      </c>
      <c r="F198" s="1" t="s">
        <v>20</v>
      </c>
      <c r="G198" s="1" t="s">
        <v>18</v>
      </c>
      <c r="H198" s="1" t="s">
        <v>11</v>
      </c>
      <c r="I198" s="1" t="s">
        <v>1148</v>
      </c>
      <c r="J198" s="1" t="s">
        <v>1149</v>
      </c>
      <c r="K198" s="1" t="s">
        <v>9</v>
      </c>
      <c r="L198" s="1" t="s">
        <v>9</v>
      </c>
      <c r="M198" s="1" t="s">
        <v>8</v>
      </c>
      <c r="N198" s="1" t="s">
        <v>35</v>
      </c>
      <c r="O198" s="1">
        <v>1</v>
      </c>
      <c r="P198" s="1">
        <f>IF(Table13[[#This Row],[design]]="Cross-sectional",0,1)</f>
        <v>0</v>
      </c>
      <c r="Q198" s="1">
        <f>IF(Table13[[#This Row],[adj]]="Adjusted",1,0)</f>
        <v>1</v>
      </c>
      <c r="R198" s="1">
        <f>SUM(Table13[[#This Row],[representative]:[adjust]])</f>
        <v>2</v>
      </c>
    </row>
    <row r="199" spans="1:18" x14ac:dyDescent="0.25">
      <c r="A199" s="1" t="s">
        <v>1123</v>
      </c>
      <c r="B199" s="1" t="s">
        <v>1124</v>
      </c>
      <c r="C199" s="1" t="s">
        <v>1125</v>
      </c>
      <c r="D199" s="1">
        <v>2021</v>
      </c>
      <c r="E199" s="1" t="s">
        <v>21</v>
      </c>
      <c r="F199" s="1" t="s">
        <v>20</v>
      </c>
      <c r="G199" s="1" t="s">
        <v>18</v>
      </c>
      <c r="H199" s="1" t="s">
        <v>80</v>
      </c>
      <c r="I199" s="1" t="s">
        <v>1139</v>
      </c>
      <c r="J199" s="1" t="s">
        <v>1140</v>
      </c>
      <c r="K199" s="1" t="s">
        <v>9</v>
      </c>
      <c r="L199" s="1" t="s">
        <v>9</v>
      </c>
      <c r="M199" s="1" t="s">
        <v>8</v>
      </c>
      <c r="N199" s="1" t="s">
        <v>2</v>
      </c>
      <c r="O199" s="1">
        <v>1</v>
      </c>
      <c r="P199" s="1">
        <f>IF(Table13[[#This Row],[design]]="Cross-sectional",0,1)</f>
        <v>0</v>
      </c>
      <c r="Q199" s="1">
        <f>IF(Table13[[#This Row],[adj]]="Adjusted",1,0)</f>
        <v>0</v>
      </c>
      <c r="R199" s="1">
        <f>SUM(Table13[[#This Row],[representative]:[adjust]])</f>
        <v>1</v>
      </c>
    </row>
    <row r="200" spans="1:18" x14ac:dyDescent="0.25">
      <c r="A200" s="1" t="s">
        <v>1123</v>
      </c>
      <c r="B200" s="1" t="s">
        <v>1124</v>
      </c>
      <c r="C200" s="1" t="s">
        <v>1125</v>
      </c>
      <c r="D200" s="1">
        <v>2021</v>
      </c>
      <c r="E200" s="1" t="s">
        <v>21</v>
      </c>
      <c r="F200" s="1" t="s">
        <v>20</v>
      </c>
      <c r="G200" s="1" t="s">
        <v>18</v>
      </c>
      <c r="H200" s="1" t="s">
        <v>80</v>
      </c>
      <c r="I200" s="1" t="s">
        <v>1139</v>
      </c>
      <c r="J200" s="1" t="s">
        <v>1154</v>
      </c>
      <c r="K200" s="1" t="s">
        <v>9</v>
      </c>
      <c r="L200" s="1" t="s">
        <v>9</v>
      </c>
      <c r="M200" s="1" t="s">
        <v>8</v>
      </c>
      <c r="N200" s="1" t="s">
        <v>2</v>
      </c>
      <c r="O200" s="1">
        <v>1</v>
      </c>
      <c r="P200" s="1">
        <f>IF(Table13[[#This Row],[design]]="Cross-sectional",0,1)</f>
        <v>0</v>
      </c>
      <c r="Q200" s="1">
        <f>IF(Table13[[#This Row],[adj]]="Adjusted",1,0)</f>
        <v>0</v>
      </c>
      <c r="R200" s="1">
        <f>SUM(Table13[[#This Row],[representative]:[adjust]])</f>
        <v>1</v>
      </c>
    </row>
    <row r="201" spans="1:18" x14ac:dyDescent="0.25">
      <c r="A201" s="1" t="s">
        <v>1123</v>
      </c>
      <c r="B201" s="1" t="s">
        <v>1124</v>
      </c>
      <c r="C201" s="1" t="s">
        <v>1125</v>
      </c>
      <c r="D201" s="1">
        <v>2021</v>
      </c>
      <c r="E201" s="1" t="s">
        <v>21</v>
      </c>
      <c r="F201" s="1" t="s">
        <v>20</v>
      </c>
      <c r="G201" s="1" t="s">
        <v>18</v>
      </c>
      <c r="H201" s="1" t="s">
        <v>11</v>
      </c>
      <c r="I201" s="1" t="s">
        <v>1130</v>
      </c>
      <c r="J201" s="1" t="s">
        <v>1499</v>
      </c>
      <c r="K201" s="1" t="s">
        <v>9</v>
      </c>
      <c r="L201" s="1" t="s">
        <v>9</v>
      </c>
      <c r="M201" s="1" t="s">
        <v>8</v>
      </c>
      <c r="N201" s="1" t="s">
        <v>2</v>
      </c>
      <c r="O201" s="1">
        <v>1</v>
      </c>
      <c r="P201" s="1">
        <f>IF(Table13[[#This Row],[design]]="Cross-sectional",0,1)</f>
        <v>0</v>
      </c>
      <c r="Q201" s="1">
        <f>IF(Table13[[#This Row],[adj]]="Adjusted",1,0)</f>
        <v>0</v>
      </c>
      <c r="R201" s="1">
        <f>SUM(Table13[[#This Row],[representative]:[adjust]])</f>
        <v>1</v>
      </c>
    </row>
    <row r="202" spans="1:18" x14ac:dyDescent="0.25">
      <c r="A202" s="1" t="s">
        <v>1123</v>
      </c>
      <c r="B202" s="1" t="s">
        <v>1124</v>
      </c>
      <c r="C202" s="1" t="s">
        <v>1125</v>
      </c>
      <c r="D202" s="1">
        <v>2021</v>
      </c>
      <c r="E202" s="1" t="s">
        <v>21</v>
      </c>
      <c r="F202" s="1" t="s">
        <v>20</v>
      </c>
      <c r="G202" s="1" t="s">
        <v>18</v>
      </c>
      <c r="H202" s="1" t="s">
        <v>11</v>
      </c>
      <c r="I202" s="1" t="s">
        <v>1130</v>
      </c>
      <c r="J202" s="1" t="s">
        <v>1131</v>
      </c>
      <c r="K202" s="1" t="s">
        <v>9</v>
      </c>
      <c r="L202" s="1" t="s">
        <v>9</v>
      </c>
      <c r="M202" s="1" t="s">
        <v>8</v>
      </c>
      <c r="N202" s="1" t="s">
        <v>35</v>
      </c>
      <c r="O202" s="1">
        <v>1</v>
      </c>
      <c r="P202" s="1">
        <f>IF(Table13[[#This Row],[design]]="Cross-sectional",0,1)</f>
        <v>0</v>
      </c>
      <c r="Q202" s="1">
        <f>IF(Table13[[#This Row],[adj]]="Adjusted",1,0)</f>
        <v>1</v>
      </c>
      <c r="R202" s="1">
        <f>SUM(Table13[[#This Row],[representative]:[adjust]])</f>
        <v>2</v>
      </c>
    </row>
    <row r="203" spans="1:18" x14ac:dyDescent="0.25">
      <c r="A203" s="1" t="s">
        <v>1123</v>
      </c>
      <c r="B203" s="1" t="s">
        <v>1124</v>
      </c>
      <c r="C203" s="1" t="s">
        <v>1125</v>
      </c>
      <c r="D203" s="1">
        <v>2021</v>
      </c>
      <c r="E203" s="1" t="s">
        <v>21</v>
      </c>
      <c r="F203" s="1" t="s">
        <v>20</v>
      </c>
      <c r="G203" s="1" t="s">
        <v>18</v>
      </c>
      <c r="H203" s="1" t="s">
        <v>80</v>
      </c>
      <c r="I203" s="1" t="s">
        <v>1143</v>
      </c>
      <c r="J203" s="1" t="s">
        <v>1146</v>
      </c>
      <c r="K203" s="1" t="s">
        <v>9</v>
      </c>
      <c r="L203" s="1" t="s">
        <v>9</v>
      </c>
      <c r="M203" s="1" t="s">
        <v>8</v>
      </c>
      <c r="N203" s="1" t="s">
        <v>2</v>
      </c>
      <c r="O203" s="1">
        <v>1</v>
      </c>
      <c r="P203" s="1">
        <f>IF(Table13[[#This Row],[design]]="Cross-sectional",0,1)</f>
        <v>0</v>
      </c>
      <c r="Q203" s="1">
        <f>IF(Table13[[#This Row],[adj]]="Adjusted",1,0)</f>
        <v>0</v>
      </c>
      <c r="R203" s="1">
        <f>SUM(Table13[[#This Row],[representative]:[adjust]])</f>
        <v>1</v>
      </c>
    </row>
    <row r="204" spans="1:18" x14ac:dyDescent="0.25">
      <c r="A204" s="1" t="s">
        <v>1123</v>
      </c>
      <c r="B204" s="1" t="s">
        <v>1124</v>
      </c>
      <c r="C204" s="1" t="s">
        <v>1125</v>
      </c>
      <c r="D204" s="1">
        <v>2021</v>
      </c>
      <c r="E204" s="1" t="s">
        <v>21</v>
      </c>
      <c r="F204" s="1" t="s">
        <v>20</v>
      </c>
      <c r="G204" s="1" t="s">
        <v>18</v>
      </c>
      <c r="H204" s="1" t="s">
        <v>80</v>
      </c>
      <c r="I204" s="1" t="s">
        <v>1143</v>
      </c>
      <c r="J204" s="1" t="s">
        <v>1144</v>
      </c>
      <c r="K204" s="1" t="s">
        <v>9</v>
      </c>
      <c r="L204" s="1" t="s">
        <v>9</v>
      </c>
      <c r="M204" s="1" t="s">
        <v>8</v>
      </c>
      <c r="N204" s="1" t="s">
        <v>35</v>
      </c>
      <c r="O204" s="1">
        <v>1</v>
      </c>
      <c r="P204" s="1">
        <f>IF(Table13[[#This Row],[design]]="Cross-sectional",0,1)</f>
        <v>0</v>
      </c>
      <c r="Q204" s="1">
        <f>IF(Table13[[#This Row],[adj]]="Adjusted",1,0)</f>
        <v>1</v>
      </c>
      <c r="R204" s="1">
        <f>SUM(Table13[[#This Row],[representative]:[adjust]])</f>
        <v>2</v>
      </c>
    </row>
    <row r="205" spans="1:18" x14ac:dyDescent="0.25">
      <c r="A205" s="1" t="s">
        <v>1158</v>
      </c>
      <c r="B205" s="1" t="s">
        <v>1159</v>
      </c>
      <c r="C205" s="1" t="s">
        <v>1160</v>
      </c>
      <c r="D205" s="1">
        <v>2022</v>
      </c>
      <c r="E205" s="1" t="s">
        <v>21</v>
      </c>
      <c r="F205" s="1" t="s">
        <v>20</v>
      </c>
      <c r="G205" s="1" t="s">
        <v>148</v>
      </c>
      <c r="H205" s="1" t="s">
        <v>513</v>
      </c>
      <c r="I205" s="1" t="s">
        <v>1164</v>
      </c>
      <c r="J205" s="1" t="s">
        <v>1165</v>
      </c>
      <c r="K205" s="1" t="s">
        <v>14</v>
      </c>
      <c r="L205" s="1" t="s">
        <v>53</v>
      </c>
      <c r="M205" s="1" t="s">
        <v>74</v>
      </c>
      <c r="N205" s="1" t="s">
        <v>2</v>
      </c>
      <c r="O205" s="1">
        <v>0</v>
      </c>
      <c r="P205" s="1">
        <f>IF(Table13[[#This Row],[design]]="Cross-sectional",0,1)</f>
        <v>0</v>
      </c>
      <c r="Q205" s="1">
        <f>IF(Table13[[#This Row],[adj]]="Adjusted",1,0)</f>
        <v>0</v>
      </c>
      <c r="R205" s="1">
        <f>SUM(Table13[[#This Row],[representative]:[adjust]])</f>
        <v>0</v>
      </c>
    </row>
    <row r="206" spans="1:18" x14ac:dyDescent="0.25">
      <c r="A206" s="1" t="s">
        <v>1158</v>
      </c>
      <c r="B206" s="1" t="s">
        <v>1159</v>
      </c>
      <c r="C206" s="1" t="s">
        <v>1160</v>
      </c>
      <c r="D206" s="1">
        <v>2022</v>
      </c>
      <c r="E206" s="1" t="s">
        <v>21</v>
      </c>
      <c r="F206" s="1" t="s">
        <v>20</v>
      </c>
      <c r="G206" s="1" t="s">
        <v>148</v>
      </c>
      <c r="H206" s="1" t="s">
        <v>11</v>
      </c>
      <c r="I206" s="1" t="s">
        <v>1162</v>
      </c>
      <c r="J206" s="1" t="s">
        <v>1162</v>
      </c>
      <c r="K206" s="1" t="s">
        <v>14</v>
      </c>
      <c r="L206" s="1" t="s">
        <v>53</v>
      </c>
      <c r="M206" s="1" t="s">
        <v>74</v>
      </c>
      <c r="N206" s="1" t="s">
        <v>2</v>
      </c>
      <c r="O206" s="1">
        <v>0</v>
      </c>
      <c r="P206" s="1">
        <f>IF(Table13[[#This Row],[design]]="Cross-sectional",0,1)</f>
        <v>0</v>
      </c>
      <c r="Q206" s="1">
        <f>IF(Table13[[#This Row],[adj]]="Adjusted",1,0)</f>
        <v>0</v>
      </c>
      <c r="R206" s="1">
        <f>SUM(Table13[[#This Row],[representative]:[adjust]])</f>
        <v>0</v>
      </c>
    </row>
    <row r="207" spans="1:18" x14ac:dyDescent="0.25">
      <c r="A207" s="1" t="s">
        <v>1166</v>
      </c>
      <c r="B207" s="1" t="s">
        <v>1167</v>
      </c>
      <c r="C207" s="1" t="s">
        <v>1168</v>
      </c>
      <c r="D207" s="1">
        <v>2016</v>
      </c>
      <c r="E207" s="1" t="s">
        <v>452</v>
      </c>
      <c r="F207" s="1" t="s">
        <v>20</v>
      </c>
      <c r="G207" s="1" t="s">
        <v>148</v>
      </c>
      <c r="H207" s="1" t="s">
        <v>39</v>
      </c>
      <c r="I207" s="1" t="s">
        <v>860</v>
      </c>
      <c r="J207" s="1" t="s">
        <v>860</v>
      </c>
      <c r="K207" s="1" t="s">
        <v>41</v>
      </c>
      <c r="L207" s="1" t="s">
        <v>53</v>
      </c>
      <c r="M207" s="1" t="s">
        <v>160</v>
      </c>
      <c r="N207" s="1" t="s">
        <v>35</v>
      </c>
      <c r="O207" s="1">
        <v>0</v>
      </c>
      <c r="P207" s="1">
        <f>IF(Table13[[#This Row],[design]]="Cross-sectional",0,1)</f>
        <v>1</v>
      </c>
      <c r="Q207" s="1">
        <f>IF(Table13[[#This Row],[adj]]="Adjusted",1,0)</f>
        <v>1</v>
      </c>
      <c r="R207" s="1">
        <f>SUM(Table13[[#This Row],[representative]:[adjust]])</f>
        <v>2</v>
      </c>
    </row>
    <row r="208" spans="1:18" x14ac:dyDescent="0.25">
      <c r="A208" s="1" t="s">
        <v>1166</v>
      </c>
      <c r="B208" s="1" t="s">
        <v>1167</v>
      </c>
      <c r="C208" s="1" t="s">
        <v>1168</v>
      </c>
      <c r="D208" s="1">
        <v>2016</v>
      </c>
      <c r="E208" s="1" t="s">
        <v>452</v>
      </c>
      <c r="F208" s="1" t="s">
        <v>20</v>
      </c>
      <c r="G208" s="1" t="s">
        <v>148</v>
      </c>
      <c r="H208" s="1" t="s">
        <v>39</v>
      </c>
      <c r="I208" s="1" t="s">
        <v>860</v>
      </c>
      <c r="J208" s="1" t="s">
        <v>860</v>
      </c>
      <c r="K208" s="1" t="s">
        <v>41</v>
      </c>
      <c r="L208" s="1" t="s">
        <v>53</v>
      </c>
      <c r="M208" s="1" t="s">
        <v>160</v>
      </c>
      <c r="N208" s="1" t="s">
        <v>35</v>
      </c>
      <c r="O208" s="1">
        <v>0</v>
      </c>
      <c r="P208" s="1">
        <f>IF(Table13[[#This Row],[design]]="Cross-sectional",0,1)</f>
        <v>1</v>
      </c>
      <c r="Q208" s="1">
        <f>IF(Table13[[#This Row],[adj]]="Adjusted",1,0)</f>
        <v>1</v>
      </c>
      <c r="R208" s="1">
        <f>SUM(Table13[[#This Row],[representative]:[adjust]])</f>
        <v>2</v>
      </c>
    </row>
    <row r="209" spans="1:18" x14ac:dyDescent="0.25">
      <c r="A209" s="1" t="s">
        <v>1166</v>
      </c>
      <c r="B209" s="1" t="s">
        <v>1167</v>
      </c>
      <c r="C209" s="1" t="s">
        <v>1168</v>
      </c>
      <c r="D209" s="1">
        <v>2016</v>
      </c>
      <c r="E209" s="1" t="s">
        <v>452</v>
      </c>
      <c r="F209" s="1" t="s">
        <v>20</v>
      </c>
      <c r="G209" s="1" t="s">
        <v>148</v>
      </c>
      <c r="H209" s="1" t="s">
        <v>39</v>
      </c>
      <c r="I209" s="1" t="s">
        <v>860</v>
      </c>
      <c r="J209" s="1" t="s">
        <v>860</v>
      </c>
      <c r="K209" s="1" t="s">
        <v>41</v>
      </c>
      <c r="L209" s="1" t="s">
        <v>53</v>
      </c>
      <c r="M209" s="1" t="s">
        <v>160</v>
      </c>
      <c r="N209" s="1" t="s">
        <v>35</v>
      </c>
      <c r="O209" s="1">
        <v>0</v>
      </c>
      <c r="P209" s="1">
        <f>IF(Table13[[#This Row],[design]]="Cross-sectional",0,1)</f>
        <v>1</v>
      </c>
      <c r="Q209" s="1">
        <f>IF(Table13[[#This Row],[adj]]="Adjusted",1,0)</f>
        <v>1</v>
      </c>
      <c r="R209" s="1">
        <f>SUM(Table13[[#This Row],[representative]:[adjust]])</f>
        <v>2</v>
      </c>
    </row>
    <row r="210" spans="1:18" x14ac:dyDescent="0.25">
      <c r="A210" s="1" t="s">
        <v>1177</v>
      </c>
      <c r="B210" s="1" t="s">
        <v>1178</v>
      </c>
      <c r="C210" s="1" t="s">
        <v>1168</v>
      </c>
      <c r="D210" s="1">
        <v>2016</v>
      </c>
      <c r="E210" s="1" t="s">
        <v>21</v>
      </c>
      <c r="F210" s="1" t="s">
        <v>20</v>
      </c>
      <c r="G210" s="1" t="s">
        <v>148</v>
      </c>
      <c r="H210" s="1" t="s">
        <v>39</v>
      </c>
      <c r="I210" s="1" t="s">
        <v>860</v>
      </c>
      <c r="J210" s="1" t="s">
        <v>860</v>
      </c>
      <c r="K210" s="1" t="s">
        <v>41</v>
      </c>
      <c r="L210" s="1" t="s">
        <v>53</v>
      </c>
      <c r="M210" s="1" t="s">
        <v>160</v>
      </c>
      <c r="N210" s="1" t="s">
        <v>2</v>
      </c>
      <c r="O210" s="1">
        <v>0</v>
      </c>
      <c r="P210" s="1">
        <f>IF(Table13[[#This Row],[design]]="Cross-sectional",0,1)</f>
        <v>0</v>
      </c>
      <c r="Q210" s="1">
        <f>IF(Table13[[#This Row],[adj]]="Adjusted",1,0)</f>
        <v>0</v>
      </c>
      <c r="R210" s="1">
        <f>SUM(Table13[[#This Row],[representative]:[adjust]])</f>
        <v>0</v>
      </c>
    </row>
    <row r="211" spans="1:18" x14ac:dyDescent="0.25">
      <c r="A211" s="1" t="s">
        <v>1183</v>
      </c>
      <c r="B211" s="1" t="s">
        <v>1184</v>
      </c>
      <c r="C211" s="1" t="s">
        <v>1185</v>
      </c>
      <c r="D211" s="1">
        <v>2013</v>
      </c>
      <c r="E211" s="1" t="s">
        <v>21</v>
      </c>
      <c r="F211" s="1" t="s">
        <v>20</v>
      </c>
      <c r="G211" s="1" t="s">
        <v>148</v>
      </c>
      <c r="H211" s="1" t="s">
        <v>11</v>
      </c>
      <c r="I211" s="1" t="s">
        <v>1188</v>
      </c>
      <c r="J211" s="1" t="s">
        <v>1188</v>
      </c>
      <c r="K211" s="1" t="s">
        <v>9</v>
      </c>
      <c r="L211" s="1" t="s">
        <v>9</v>
      </c>
      <c r="M211" s="1" t="s">
        <v>8</v>
      </c>
      <c r="N211" s="1" t="s">
        <v>35</v>
      </c>
      <c r="O211" s="1">
        <v>0</v>
      </c>
      <c r="P211" s="1">
        <f>IF(Table13[[#This Row],[design]]="Cross-sectional",0,1)</f>
        <v>0</v>
      </c>
      <c r="Q211" s="1">
        <f>IF(Table13[[#This Row],[adj]]="Adjusted",1,0)</f>
        <v>1</v>
      </c>
      <c r="R211" s="1">
        <f>SUM(Table13[[#This Row],[representative]:[adjust]])</f>
        <v>1</v>
      </c>
    </row>
    <row r="212" spans="1:18" x14ac:dyDescent="0.25">
      <c r="A212" s="1" t="s">
        <v>1189</v>
      </c>
      <c r="B212" s="1" t="s">
        <v>1190</v>
      </c>
      <c r="C212" s="1" t="s">
        <v>1191</v>
      </c>
      <c r="D212" s="1">
        <v>2023</v>
      </c>
      <c r="E212" s="1" t="s">
        <v>21</v>
      </c>
      <c r="F212" s="1" t="s">
        <v>20</v>
      </c>
      <c r="G212" s="1" t="s">
        <v>148</v>
      </c>
      <c r="H212" s="1" t="s">
        <v>39</v>
      </c>
      <c r="I212" s="1" t="s">
        <v>1195</v>
      </c>
      <c r="J212" s="1" t="s">
        <v>762</v>
      </c>
      <c r="K212" s="1" t="s">
        <v>9</v>
      </c>
      <c r="L212" s="1" t="s">
        <v>9</v>
      </c>
      <c r="M212" s="1" t="s">
        <v>63</v>
      </c>
      <c r="N212" s="1" t="s">
        <v>2</v>
      </c>
      <c r="O212" s="1">
        <v>0</v>
      </c>
      <c r="P212" s="1">
        <f>IF(Table13[[#This Row],[design]]="Cross-sectional",0,1)</f>
        <v>0</v>
      </c>
      <c r="Q212" s="1">
        <f>IF(Table13[[#This Row],[adj]]="Adjusted",1,0)</f>
        <v>0</v>
      </c>
      <c r="R212" s="1">
        <f>SUM(Table13[[#This Row],[representative]:[adjust]])</f>
        <v>0</v>
      </c>
    </row>
    <row r="213" spans="1:18" x14ac:dyDescent="0.25">
      <c r="A213" s="1" t="s">
        <v>1199</v>
      </c>
      <c r="B213" s="1" t="s">
        <v>1200</v>
      </c>
      <c r="C213" s="1" t="s">
        <v>1201</v>
      </c>
      <c r="D213" s="1">
        <v>2019</v>
      </c>
      <c r="E213" s="1" t="s">
        <v>21</v>
      </c>
      <c r="F213" s="1" t="s">
        <v>20</v>
      </c>
      <c r="G213" s="1" t="s">
        <v>278</v>
      </c>
      <c r="H213" s="1" t="s">
        <v>11</v>
      </c>
      <c r="I213" s="1" t="s">
        <v>1210</v>
      </c>
      <c r="J213" s="1" t="s">
        <v>154</v>
      </c>
      <c r="K213" s="1" t="s">
        <v>9</v>
      </c>
      <c r="L213" s="1" t="s">
        <v>9</v>
      </c>
      <c r="M213" s="1" t="s">
        <v>8</v>
      </c>
      <c r="N213" s="1" t="s">
        <v>2</v>
      </c>
      <c r="O213" s="1">
        <v>1</v>
      </c>
      <c r="P213" s="1">
        <f>IF(Table13[[#This Row],[design]]="Cross-sectional",0,1)</f>
        <v>0</v>
      </c>
      <c r="Q213" s="1">
        <f>IF(Table13[[#This Row],[adj]]="Adjusted",1,0)</f>
        <v>0</v>
      </c>
      <c r="R213" s="1">
        <f>SUM(Table13[[#This Row],[representative]:[adjust]])</f>
        <v>1</v>
      </c>
    </row>
    <row r="214" spans="1:18" x14ac:dyDescent="0.25">
      <c r="A214" s="1" t="s">
        <v>1199</v>
      </c>
      <c r="B214" s="1" t="s">
        <v>1200</v>
      </c>
      <c r="C214" s="1" t="s">
        <v>1201</v>
      </c>
      <c r="D214" s="1">
        <v>2019</v>
      </c>
      <c r="E214" s="1" t="s">
        <v>21</v>
      </c>
      <c r="F214" s="1" t="s">
        <v>20</v>
      </c>
      <c r="G214" s="1" t="s">
        <v>278</v>
      </c>
      <c r="H214" s="1" t="s">
        <v>39</v>
      </c>
      <c r="I214" s="1" t="s">
        <v>1206</v>
      </c>
      <c r="J214" s="1" t="s">
        <v>860</v>
      </c>
      <c r="K214" s="1" t="s">
        <v>41</v>
      </c>
      <c r="L214" s="1" t="s">
        <v>53</v>
      </c>
      <c r="M214" s="1" t="s">
        <v>160</v>
      </c>
      <c r="N214" s="1" t="s">
        <v>2</v>
      </c>
      <c r="O214" s="1">
        <v>1</v>
      </c>
      <c r="P214" s="1">
        <f>IF(Table13[[#This Row],[design]]="Cross-sectional",0,1)</f>
        <v>0</v>
      </c>
      <c r="Q214" s="1">
        <f>IF(Table13[[#This Row],[adj]]="Adjusted",1,0)</f>
        <v>0</v>
      </c>
      <c r="R214" s="1">
        <f>SUM(Table13[[#This Row],[representative]:[adjust]])</f>
        <v>1</v>
      </c>
    </row>
    <row r="215" spans="1:18" x14ac:dyDescent="0.25">
      <c r="A215" s="1" t="s">
        <v>1213</v>
      </c>
      <c r="B215" s="1" t="s">
        <v>1214</v>
      </c>
      <c r="C215" s="1" t="s">
        <v>1215</v>
      </c>
      <c r="D215" s="1">
        <v>2012</v>
      </c>
      <c r="E215" s="1" t="s">
        <v>21</v>
      </c>
      <c r="F215" s="1" t="s">
        <v>20</v>
      </c>
      <c r="G215" s="1" t="s">
        <v>148</v>
      </c>
      <c r="H215" s="1" t="s">
        <v>39</v>
      </c>
      <c r="I215" s="1" t="s">
        <v>1233</v>
      </c>
      <c r="J215" s="1" t="s">
        <v>1233</v>
      </c>
      <c r="K215" s="1" t="s">
        <v>9</v>
      </c>
      <c r="L215" s="1" t="s">
        <v>9</v>
      </c>
      <c r="M215" s="1" t="s">
        <v>63</v>
      </c>
      <c r="N215" s="1" t="s">
        <v>35</v>
      </c>
      <c r="O215" s="1">
        <v>0</v>
      </c>
      <c r="P215" s="1">
        <f>IF(Table13[[#This Row],[design]]="Cross-sectional",0,1)</f>
        <v>0</v>
      </c>
      <c r="Q215" s="1">
        <f>IF(Table13[[#This Row],[adj]]="Adjusted",1,0)</f>
        <v>1</v>
      </c>
      <c r="R215" s="1">
        <f>SUM(Table13[[#This Row],[representative]:[adjust]])</f>
        <v>1</v>
      </c>
    </row>
    <row r="216" spans="1:18" x14ac:dyDescent="0.25">
      <c r="A216" s="1" t="s">
        <v>1213</v>
      </c>
      <c r="B216" s="1" t="s">
        <v>1214</v>
      </c>
      <c r="C216" s="1" t="s">
        <v>1215</v>
      </c>
      <c r="D216" s="1">
        <v>2012</v>
      </c>
      <c r="E216" s="1" t="s">
        <v>21</v>
      </c>
      <c r="F216" s="1" t="s">
        <v>20</v>
      </c>
      <c r="G216" s="1" t="s">
        <v>148</v>
      </c>
      <c r="H216" s="1" t="s">
        <v>39</v>
      </c>
      <c r="I216" s="1" t="s">
        <v>1233</v>
      </c>
      <c r="J216" s="1" t="s">
        <v>1233</v>
      </c>
      <c r="K216" s="1" t="s">
        <v>9</v>
      </c>
      <c r="L216" s="1" t="s">
        <v>9</v>
      </c>
      <c r="M216" s="1" t="s">
        <v>160</v>
      </c>
      <c r="N216" s="1" t="s">
        <v>35</v>
      </c>
      <c r="O216" s="1">
        <v>0</v>
      </c>
      <c r="P216" s="1">
        <f>IF(Table13[[#This Row],[design]]="Cross-sectional",0,1)</f>
        <v>0</v>
      </c>
      <c r="Q216" s="1">
        <f>IF(Table13[[#This Row],[adj]]="Adjusted",1,0)</f>
        <v>1</v>
      </c>
      <c r="R216" s="1">
        <f>SUM(Table13[[#This Row],[representative]:[adjust]])</f>
        <v>1</v>
      </c>
    </row>
    <row r="217" spans="1:18" x14ac:dyDescent="0.25">
      <c r="A217" s="1" t="s">
        <v>1213</v>
      </c>
      <c r="B217" s="1" t="s">
        <v>1214</v>
      </c>
      <c r="C217" s="1" t="s">
        <v>1215</v>
      </c>
      <c r="D217" s="1">
        <v>2012</v>
      </c>
      <c r="E217" s="1" t="s">
        <v>21</v>
      </c>
      <c r="F217" s="1" t="s">
        <v>20</v>
      </c>
      <c r="G217" s="1" t="s">
        <v>148</v>
      </c>
      <c r="H217" s="1" t="s">
        <v>513</v>
      </c>
      <c r="I217" s="1" t="s">
        <v>1228</v>
      </c>
      <c r="J217" s="1" t="s">
        <v>1229</v>
      </c>
      <c r="K217" s="1" t="s">
        <v>9</v>
      </c>
      <c r="L217" s="1" t="s">
        <v>9</v>
      </c>
      <c r="M217" s="1" t="s">
        <v>63</v>
      </c>
      <c r="N217" s="1" t="s">
        <v>2</v>
      </c>
      <c r="O217" s="1">
        <v>0</v>
      </c>
      <c r="P217" s="1">
        <f>IF(Table13[[#This Row],[design]]="Cross-sectional",0,1)</f>
        <v>0</v>
      </c>
      <c r="Q217" s="1">
        <f>IF(Table13[[#This Row],[adj]]="Adjusted",1,0)</f>
        <v>0</v>
      </c>
      <c r="R217" s="1">
        <f>SUM(Table13[[#This Row],[representative]:[adjust]])</f>
        <v>0</v>
      </c>
    </row>
    <row r="218" spans="1:18" x14ac:dyDescent="0.25">
      <c r="A218" s="1" t="s">
        <v>1213</v>
      </c>
      <c r="B218" s="1" t="s">
        <v>1214</v>
      </c>
      <c r="C218" s="1" t="s">
        <v>1215</v>
      </c>
      <c r="D218" s="1">
        <v>2012</v>
      </c>
      <c r="E218" s="1" t="s">
        <v>21</v>
      </c>
      <c r="F218" s="1" t="s">
        <v>20</v>
      </c>
      <c r="G218" s="1" t="s">
        <v>148</v>
      </c>
      <c r="H218" s="1" t="s">
        <v>513</v>
      </c>
      <c r="I218" s="1" t="s">
        <v>1228</v>
      </c>
      <c r="J218" s="1" t="s">
        <v>1229</v>
      </c>
      <c r="K218" s="1" t="s">
        <v>9</v>
      </c>
      <c r="L218" s="1" t="s">
        <v>9</v>
      </c>
      <c r="M218" s="1" t="s">
        <v>160</v>
      </c>
      <c r="N218" s="1" t="s">
        <v>2</v>
      </c>
      <c r="O218" s="1">
        <v>0</v>
      </c>
      <c r="P218" s="1">
        <f>IF(Table13[[#This Row],[design]]="Cross-sectional",0,1)</f>
        <v>0</v>
      </c>
      <c r="Q218" s="1">
        <f>IF(Table13[[#This Row],[adj]]="Adjusted",1,0)</f>
        <v>0</v>
      </c>
      <c r="R218" s="1">
        <f>SUM(Table13[[#This Row],[representative]:[adjust]])</f>
        <v>0</v>
      </c>
    </row>
    <row r="219" spans="1:18" x14ac:dyDescent="0.25">
      <c r="A219" s="1" t="s">
        <v>1213</v>
      </c>
      <c r="B219" s="1" t="s">
        <v>1214</v>
      </c>
      <c r="C219" s="1" t="s">
        <v>1215</v>
      </c>
      <c r="D219" s="1">
        <v>2012</v>
      </c>
      <c r="E219" s="1" t="s">
        <v>21</v>
      </c>
      <c r="F219" s="1" t="s">
        <v>20</v>
      </c>
      <c r="G219" s="1" t="s">
        <v>148</v>
      </c>
      <c r="H219" s="1" t="s">
        <v>11</v>
      </c>
      <c r="I219" s="1" t="s">
        <v>1218</v>
      </c>
      <c r="J219" s="1" t="s">
        <v>1219</v>
      </c>
      <c r="K219" s="1" t="s">
        <v>9</v>
      </c>
      <c r="L219" s="1" t="s">
        <v>9</v>
      </c>
      <c r="M219" s="1" t="s">
        <v>63</v>
      </c>
      <c r="N219" s="1" t="s">
        <v>2</v>
      </c>
      <c r="O219" s="1">
        <v>0</v>
      </c>
      <c r="P219" s="1">
        <f>IF(Table13[[#This Row],[design]]="Cross-sectional",0,1)</f>
        <v>0</v>
      </c>
      <c r="Q219" s="1">
        <f>IF(Table13[[#This Row],[adj]]="Adjusted",1,0)</f>
        <v>0</v>
      </c>
      <c r="R219" s="1">
        <f>SUM(Table13[[#This Row],[representative]:[adjust]])</f>
        <v>0</v>
      </c>
    </row>
    <row r="220" spans="1:18" x14ac:dyDescent="0.25">
      <c r="A220" s="1" t="s">
        <v>1213</v>
      </c>
      <c r="B220" s="1" t="s">
        <v>1214</v>
      </c>
      <c r="C220" s="1" t="s">
        <v>1215</v>
      </c>
      <c r="D220" s="1">
        <v>2012</v>
      </c>
      <c r="E220" s="1" t="s">
        <v>21</v>
      </c>
      <c r="F220" s="1" t="s">
        <v>20</v>
      </c>
      <c r="G220" s="1" t="s">
        <v>148</v>
      </c>
      <c r="H220" s="1" t="s">
        <v>11</v>
      </c>
      <c r="I220" s="1" t="s">
        <v>1218</v>
      </c>
      <c r="J220" s="1" t="s">
        <v>1219</v>
      </c>
      <c r="K220" s="1" t="s">
        <v>9</v>
      </c>
      <c r="L220" s="1" t="s">
        <v>9</v>
      </c>
      <c r="M220" s="1" t="s">
        <v>160</v>
      </c>
      <c r="N220" s="1" t="s">
        <v>2</v>
      </c>
      <c r="O220" s="1">
        <v>0</v>
      </c>
      <c r="P220" s="1">
        <f>IF(Table13[[#This Row],[design]]="Cross-sectional",0,1)</f>
        <v>0</v>
      </c>
      <c r="Q220" s="1">
        <f>IF(Table13[[#This Row],[adj]]="Adjusted",1,0)</f>
        <v>0</v>
      </c>
      <c r="R220" s="1">
        <f>SUM(Table13[[#This Row],[representative]:[adjust]])</f>
        <v>0</v>
      </c>
    </row>
    <row r="221" spans="1:18" x14ac:dyDescent="0.25">
      <c r="A221" s="1" t="s">
        <v>1213</v>
      </c>
      <c r="B221" s="1" t="s">
        <v>1214</v>
      </c>
      <c r="C221" s="1" t="s">
        <v>1215</v>
      </c>
      <c r="D221" s="1">
        <v>2012</v>
      </c>
      <c r="E221" s="1" t="s">
        <v>21</v>
      </c>
      <c r="F221" s="1" t="s">
        <v>20</v>
      </c>
      <c r="G221" s="1" t="s">
        <v>148</v>
      </c>
      <c r="H221" s="1" t="s">
        <v>80</v>
      </c>
      <c r="I221" s="1" t="s">
        <v>1223</v>
      </c>
      <c r="J221" s="1" t="s">
        <v>113</v>
      </c>
      <c r="K221" s="1" t="s">
        <v>9</v>
      </c>
      <c r="L221" s="1" t="s">
        <v>9</v>
      </c>
      <c r="M221" s="1" t="s">
        <v>63</v>
      </c>
      <c r="N221" s="1" t="s">
        <v>2</v>
      </c>
      <c r="O221" s="1">
        <v>0</v>
      </c>
      <c r="P221" s="1">
        <f>IF(Table13[[#This Row],[design]]="Cross-sectional",0,1)</f>
        <v>0</v>
      </c>
      <c r="Q221" s="1">
        <f>IF(Table13[[#This Row],[adj]]="Adjusted",1,0)</f>
        <v>0</v>
      </c>
      <c r="R221" s="1">
        <f>SUM(Table13[[#This Row],[representative]:[adjust]])</f>
        <v>0</v>
      </c>
    </row>
    <row r="222" spans="1:18" x14ac:dyDescent="0.25">
      <c r="A222" s="1" t="s">
        <v>1213</v>
      </c>
      <c r="B222" s="1" t="s">
        <v>1214</v>
      </c>
      <c r="C222" s="1" t="s">
        <v>1215</v>
      </c>
      <c r="D222" s="1">
        <v>2012</v>
      </c>
      <c r="E222" s="1" t="s">
        <v>21</v>
      </c>
      <c r="F222" s="1" t="s">
        <v>20</v>
      </c>
      <c r="G222" s="1" t="s">
        <v>148</v>
      </c>
      <c r="H222" s="1" t="s">
        <v>80</v>
      </c>
      <c r="I222" s="1" t="s">
        <v>1223</v>
      </c>
      <c r="J222" s="1" t="s">
        <v>113</v>
      </c>
      <c r="K222" s="1" t="s">
        <v>9</v>
      </c>
      <c r="L222" s="1" t="s">
        <v>9</v>
      </c>
      <c r="M222" s="1" t="s">
        <v>160</v>
      </c>
      <c r="N222" s="1" t="s">
        <v>2</v>
      </c>
      <c r="O222" s="1">
        <v>0</v>
      </c>
      <c r="P222" s="1">
        <f>IF(Table13[[#This Row],[design]]="Cross-sectional",0,1)</f>
        <v>0</v>
      </c>
      <c r="Q222" s="1">
        <f>IF(Table13[[#This Row],[adj]]="Adjusted",1,0)</f>
        <v>0</v>
      </c>
      <c r="R222" s="1">
        <f>SUM(Table13[[#This Row],[representative]:[adjust]])</f>
        <v>0</v>
      </c>
    </row>
  </sheetData>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Calculations</vt:lpstr>
      <vt:lpstr>Final data extraction</vt:lpstr>
      <vt:lpstr>Updated search</vt:lpstr>
      <vt:lpstr>Risk of bias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Dawe</dc:creator>
  <cp:lastModifiedBy>Joshua Dawe</cp:lastModifiedBy>
  <dcterms:created xsi:type="dcterms:W3CDTF">2025-12-01T14:04:21Z</dcterms:created>
  <dcterms:modified xsi:type="dcterms:W3CDTF">2026-06-24T11:02:10Z</dcterms:modified>
</cp:coreProperties>
</file>